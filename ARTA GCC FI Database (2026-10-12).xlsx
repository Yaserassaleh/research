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Institutions" sheetId="2" state="visible" r:id="rId2"/>
    <sheet xmlns:r="http://schemas.openxmlformats.org/officeDocument/2006/relationships" name="Financials" sheetId="3" state="visible" r:id="rId3"/>
    <sheet xmlns:r="http://schemas.openxmlformats.org/officeDocument/2006/relationships" name="Executives" sheetId="4" state="visible" r:id="rId4"/>
    <sheet xmlns:r="http://schemas.openxmlformats.org/officeDocument/2006/relationships" name="Capabilities" sheetId="5" state="visible" r:id="rId5"/>
    <sheet xmlns:r="http://schemas.openxmlformats.org/officeDocument/2006/relationships" name="Partners &amp; initiatives" sheetId="6" state="visible" r:id="rId6"/>
    <sheet xmlns:r="http://schemas.openxmlformats.org/officeDocument/2006/relationships" name="ARTA priorities" sheetId="7" state="visible" r:id="rId7"/>
    <sheet xmlns:r="http://schemas.openxmlformats.org/officeDocument/2006/relationships" name="Coverage" sheetId="8" state="visible" r:id="rId8"/>
    <sheet xmlns:r="http://schemas.openxmlformats.org/officeDocument/2006/relationships" name="Correction log" sheetId="9" state="visible" r:id="rId9"/>
    <sheet xmlns:r="http://schemas.openxmlformats.org/officeDocument/2006/relationships" name="Discrepancies &amp; open items" sheetId="10" state="visible" r:id="rId10"/>
    <sheet xmlns:r="http://schemas.openxmlformats.org/officeDocument/2006/relationships" name="Source register" sheetId="11" state="visible" r:id="rId11"/>
    <sheet xmlns:r="http://schemas.openxmlformats.org/officeDocument/2006/relationships" name="Data dictionary" sheetId="12" state="visible" r:id="rId12"/>
    <sheet xmlns:r="http://schemas.openxmlformats.org/officeDocument/2006/relationships" name="FX rates" sheetId="13" state="visible" r:id="rId13"/>
    <sheet xmlns:r="http://schemas.openxmlformats.org/officeDocument/2006/relationships" name="Universe &amp; exclusions" sheetId="14" state="visible" r:id="rId14"/>
    <sheet xmlns:r="http://schemas.openxmlformats.org/officeDocument/2006/relationships" name="QA checks" sheetId="15" state="visible" r:id="rId15"/>
    <sheet xmlns:r="http://schemas.openxmlformats.org/officeDocument/2006/relationships" name="Relationship contacts (internal)" sheetId="16" state="visible" r:id="rId16"/>
  </sheets>
  <definedNames>
    <definedName name="_xlnm._FilterDatabase" localSheetId="6" hidden="1">'ARTA priorities'!$A$7:$T$8</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0">
    <font>
      <name val="Calibri"/>
      <family val="2"/>
      <color theme="1"/>
      <sz val="11"/>
      <scheme val="minor"/>
    </font>
    <font>
      <name val="Calibri"/>
      <b val="1"/>
      <color rgb="001C1B2E"/>
      <sz val="15"/>
    </font>
    <font>
      <name val="Calibri"/>
      <i val="1"/>
      <color rgb="006E6C84"/>
      <sz val="10"/>
    </font>
    <font>
      <b val="1"/>
      <color rgb="001C1B2E"/>
      <sz val="12"/>
    </font>
    <font>
      <name val="Calibri"/>
      <sz val="10"/>
    </font>
    <font>
      <name val="Calibri"/>
      <b val="1"/>
      <color rgb="00FFFFFF"/>
      <sz val="10"/>
    </font>
    <font>
      <name val="Calibri"/>
      <color rgb="004A3FC4"/>
      <sz val="10"/>
      <u val="single"/>
    </font>
    <font>
      <b val="1"/>
      <color rgb="004A3FC4"/>
    </font>
    <font>
      <b val="1"/>
      <color rgb="006E6C84"/>
      <sz val="9"/>
    </font>
    <font>
      <b val="1"/>
    </font>
  </fonts>
  <fills count="8">
    <fill>
      <patternFill/>
    </fill>
    <fill>
      <patternFill patternType="gray125"/>
    </fill>
    <fill>
      <patternFill patternType="solid">
        <fgColor rgb="001C1B2E"/>
      </patternFill>
    </fill>
    <fill>
      <patternFill patternType="solid">
        <fgColor rgb="00E3F3EA"/>
      </patternFill>
    </fill>
    <fill>
      <patternFill patternType="solid">
        <fgColor rgb="00FBF0DC"/>
      </patternFill>
    </fill>
    <fill>
      <patternFill patternType="solid">
        <fgColor rgb="00FBE7E5"/>
      </patternFill>
    </fill>
    <fill>
      <patternFill patternType="solid">
        <fgColor rgb="00EEEDF3"/>
      </patternFill>
    </fill>
    <fill>
      <patternFill patternType="solid">
        <fgColor rgb="00EBE9FB"/>
      </patternFill>
    </fill>
  </fills>
  <borders count="1">
    <border>
      <left/>
      <right/>
      <top/>
      <bottom/>
      <diagonal/>
    </border>
  </borders>
  <cellStyleXfs count="1">
    <xf numFmtId="0" fontId="0" fillId="0" borderId="0"/>
  </cellStyleXfs>
  <cellXfs count="2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2" fillId="0" borderId="0" pivotButton="0" quotePrefix="0" xfId="0"/>
    <xf numFmtId="0" fontId="5" fillId="2" borderId="0" applyAlignment="1" pivotButton="0" quotePrefix="0" xfId="0">
      <alignment vertical="center" wrapText="1"/>
    </xf>
    <xf numFmtId="0" fontId="4" fillId="0" borderId="0" applyAlignment="1" pivotButton="0" quotePrefix="0" xfId="0">
      <alignment vertical="top"/>
    </xf>
    <xf numFmtId="0" fontId="6" fillId="0" borderId="0" applyAlignment="1" pivotButton="0" quotePrefix="0" xfId="0">
      <alignment vertical="top"/>
    </xf>
    <xf numFmtId="164" fontId="4" fillId="0" borderId="0" applyAlignment="1" pivotButton="0" quotePrefix="0" xfId="0">
      <alignment vertical="top"/>
    </xf>
    <xf numFmtId="3" fontId="4" fillId="0" borderId="0" applyAlignment="1" pivotButton="0" quotePrefix="0" xfId="0">
      <alignment vertical="top"/>
    </xf>
    <xf numFmtId="0" fontId="4" fillId="3" borderId="0" applyAlignment="1" pivotButton="0" quotePrefix="0" xfId="0">
      <alignment vertical="top"/>
    </xf>
    <xf numFmtId="165" fontId="4" fillId="0" borderId="0" applyAlignment="1" pivotButton="0" quotePrefix="0" xfId="0">
      <alignment vertical="top"/>
    </xf>
    <xf numFmtId="0" fontId="4" fillId="4" borderId="0" applyAlignment="1" pivotButton="0" quotePrefix="0" xfId="0">
      <alignment vertical="top"/>
    </xf>
    <xf numFmtId="0" fontId="4" fillId="5" borderId="0" applyAlignment="1" pivotButton="0" quotePrefix="0" xfId="0">
      <alignment vertical="top"/>
    </xf>
    <xf numFmtId="0" fontId="4" fillId="6" borderId="0" applyAlignment="1" pivotButton="0" quotePrefix="0" xfId="0">
      <alignment vertical="top"/>
    </xf>
    <xf numFmtId="0" fontId="7" fillId="0" borderId="0" pivotButton="0" quotePrefix="0" xfId="0"/>
    <xf numFmtId="0" fontId="8" fillId="0" borderId="0" pivotButton="0" quotePrefix="0" xfId="0"/>
    <xf numFmtId="0" fontId="7" fillId="7" borderId="0" pivotButton="0" quotePrefix="0" xfId="0"/>
    <xf numFmtId="0" fontId="4" fillId="0" borderId="0" pivotButton="0" quotePrefix="0" xfId="0"/>
    <xf numFmtId="0" fontId="9" fillId="0" borderId="0" pivotButton="0" quotePrefix="0" xfId="0"/>
    <xf numFmtId="0" fontId="4" fillId="3" borderId="0" applyAlignment="1" pivotButton="0" quotePrefix="0" xfId="0">
      <alignment vertical="top" wrapText="1"/>
    </xf>
    <xf numFmtId="0" fontId="4" fillId="6"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ables/table1.xml><?xml version="1.0" encoding="utf-8"?>
<table xmlns="http://schemas.openxmlformats.org/spreadsheetml/2006/main" id="1" name="t_Institutions" displayName="t_Institutions" ref="A4:AP5" headerRowCount="1">
  <autoFilter ref="A4:AP5"/>
  <tableColumns count="42">
    <tableColumn id="1" name="ID"/>
    <tableColumn id="2" name="Institution"/>
    <tableColumn id="3" name="Short name"/>
    <tableColumn id="4" name="Legal name"/>
    <tableColumn id="5" name="Arabic name"/>
    <tableColumn id="6" name="Market"/>
    <tableColumn id="7" name="HQ city"/>
    <tableColumn id="8" name="Category"/>
    <tableColumn id="9" name="Type"/>
    <tableColumn id="10" name="Banking model"/>
    <tableColumn id="11" name="Listed"/>
    <tableColumn id="12" name="Exchange"/>
    <tableColumn id="13" name="Ticker"/>
    <tableColumn id="14" name="Parent (profiled)"/>
    <tableColumn id="15" name="Website"/>
    <tableColumn id="16" name="Total assets (USD bn)"/>
    <tableColumn id="17" name="Assets period"/>
    <tableColumn id="18" name="Customer deposits (USD bn)"/>
    <tableColumn id="19" name="Deposits period"/>
    <tableColumn id="20" name="Net loans (USD bn)"/>
    <tableColumn id="21" name="Loans period"/>
    <tableColumn id="22" name="Operating income (USD bn)"/>
    <tableColumn id="23" name="Op. income period"/>
    <tableColumn id="24" name="Net profit (USD bn)"/>
    <tableColumn id="25" name="Net profit period"/>
    <tableColumn id="26" name="AUM (USD bn)"/>
    <tableColumn id="27" name="AUM period / status"/>
    <tableColumn id="28" name="AUA (USD bn)"/>
    <tableColumn id="29" name="AUA period / status"/>
    <tableColumn id="30" name="Customers"/>
    <tableColumn id="31" name="Customers period"/>
    <tableColumn id="32" name="Size band"/>
    <tableColumn id="33" name="Ownership"/>
    <tableColumn id="34" name="Government link"/>
    <tableColumn id="35" name="ARTA score (default)"/>
    <tableColumn id="36" name="ARTA tier (default)"/>
    <tableColumn id="37" name="People"/>
    <tableColumn id="38" name="People verified current"/>
    <tableColumn id="39" name="Sources"/>
    <tableColumn id="40" name="Research status"/>
    <tableColumn id="41" name="In original workbook"/>
    <tableColumn id="42" name="Checked"/>
  </tableColumns>
  <tableStyleInfo name="TableStyleLight1" showRowStripes="1"/>
</table>
</file>

<file path=xl/tables/table2.xml><?xml version="1.0" encoding="utf-8"?>
<table xmlns="http://schemas.openxmlformats.org/spreadsheetml/2006/main" id="2" name="t_Financials" displayName="t_Financials" ref="A4:U8" headerRowCount="1">
  <autoFilter ref="A4:U8"/>
  <tableColumns count="21">
    <tableColumn id="1" name="Metric ID"/>
    <tableColumn id="2" name="Institution ID"/>
    <tableColumn id="3" name="Institution"/>
    <tableColumn id="4" name="Metric"/>
    <tableColumn id="5" name="Reported value"/>
    <tableColumn id="6" name="Unit"/>
    <tableColumn id="7" name="Currency"/>
    <tableColumn id="8" name="Value (absolute)"/>
    <tableColumn id="9" name="USD bn"/>
    <tableColumn id="10" name="FX per USD"/>
    <tableColumn id="11" name="FX basis"/>
    <tableColumn id="12" name="Period end"/>
    <tableColumn id="13" name="Period"/>
    <tableColumn id="14" name="Period type"/>
    <tableColumn id="15" name="Standard period?"/>
    <tableColumn id="16" name="Scope"/>
    <tableColumn id="17" name="Definition"/>
    <tableColumn id="18" name="Status"/>
    <tableColumn id="19" name="Locator"/>
    <tableColumn id="20" name="Note"/>
    <tableColumn id="21" name="Source IDs"/>
  </tableColumns>
  <tableStyleInfo name="TableStyleLight1" showRowStripes="1"/>
</table>
</file>

<file path=xl/tables/table3.xml><?xml version="1.0" encoding="utf-8"?>
<table xmlns="http://schemas.openxmlformats.org/spreadsheetml/2006/main" id="3" name="t_Executives" displayName="t_Executives" ref="A4:W9" headerRowCount="1">
  <autoFilter ref="A4:W9"/>
  <tableColumns count="23">
    <tableColumn id="1" name="Person ID"/>
    <tableColumn id="2" name="Institution ID"/>
    <tableColumn id="3" name="Institution"/>
    <tableColumn id="4" name="Market"/>
    <tableColumn id="5" name="Name"/>
    <tableColumn id="6" name="Arabic name"/>
    <tableColumn id="7" name="Exact title"/>
    <tableColumn id="8" name="Functions"/>
    <tableColumn id="9" name="Entity"/>
    <tableColumn id="10" name="Business unit"/>
    <tableColumn id="11" name="Scope"/>
    <tableColumn id="12" name="Appointed"/>
    <tableColumn id="13" name="Appointment note"/>
    <tableColumn id="14" name="Career / previous roles"/>
    <tableColumn id="15" name="Education"/>
    <tableColumn id="16" name="Qualifications"/>
    <tableColumn id="17" name="LinkedIn URL"/>
    <tableColumn id="18" name="LinkedIn status"/>
    <tableColumn id="19" name="Role status"/>
    <tableColumn id="20" name="Role evidence"/>
    <tableColumn id="21" name="Key ARTA contact role"/>
    <tableColumn id="22" name="Source IDs"/>
    <tableColumn id="23" name="Checked"/>
  </tableColumns>
  <tableStyleInfo name="TableStyleLight1" showRowStripes="1"/>
</table>
</file>

<file path=xl/tables/table4.xml><?xml version="1.0" encoding="utf-8"?>
<table xmlns="http://schemas.openxmlformats.org/spreadsheetml/2006/main" id="4" name="t_Capabilities" displayName="t_Capabilities" ref="A4:AB5" headerRowCount="1">
  <autoFilter ref="A4:AB5"/>
  <tableColumns count="28">
    <tableColumn id="1" name="Institution ID"/>
    <tableColumn id="2" name="Institution"/>
    <tableColumn id="3" name="Market"/>
    <tableColumn id="4" name="Category"/>
    <tableColumn id="5" name="Wealth summary"/>
    <tableColumn id="6" name="Private banking"/>
    <tableColumn id="7" name="Asset management"/>
    <tableColumn id="8" name="Brokerage"/>
    <tableColumn id="9" name="Digital investing"/>
    <tableColumn id="10" name="Advisory"/>
    <tableColumn id="11" name="Discretionary mandates"/>
    <tableColumn id="12" name="Model portfolios / robo"/>
    <tableColumn id="13" name="Funds platform"/>
    <tableColumn id="14" name="Structured products"/>
    <tableColumn id="15" name="Private markets"/>
    <tableColumn id="16" name="Islamic wealth"/>
    <tableColumn id="17" name="Asset classes"/>
    <tableColumn id="18" name="Private banking — detail"/>
    <tableColumn id="19" name="Asset management — detail"/>
    <tableColumn id="20" name="Brokerage — detail"/>
    <tableColumn id="21" name="Digital investing — detail"/>
    <tableColumn id="22" name="Advisory — detail"/>
    <tableColumn id="23" name="Discretionary mandates — detail"/>
    <tableColumn id="24" name="Model portfolios / robo — detail"/>
    <tableColumn id="25" name="Funds platform — detail"/>
    <tableColumn id="26" name="Structured products — detail"/>
    <tableColumn id="27" name="Private markets — detail"/>
    <tableColumn id="28" name="Islamic wealth — detail"/>
  </tableColumns>
  <tableStyleInfo name="TableStyleLight1" showRowStripes="1"/>
</table>
</file>

<file path=xl/tables/table5.xml><?xml version="1.0" encoding="utf-8"?>
<table xmlns="http://schemas.openxmlformats.org/spreadsheetml/2006/main" id="5" name="t_Partnersinitiatives" displayName="t_Partnersinitiatives" ref="A4:I18" headerRowCount="1">
  <autoFilter ref="A4:I18"/>
  <tableColumns count="9">
    <tableColumn id="1" name="Kind"/>
    <tableColumn id="2" name="Institution ID"/>
    <tableColumn id="3" name="Institution"/>
    <tableColumn id="4" name="Date"/>
    <tableColumn id="5" name="Partner"/>
    <tableColumn id="6" name="Partner type"/>
    <tableColumn id="7" name="What"/>
    <tableColumn id="8" name="Status"/>
    <tableColumn id="9" name="Source IDs"/>
  </tableColumns>
  <tableStyleInfo name="TableStyleLight1" showRowStripes="1"/>
</table>
</file>

<file path=xl/tables/table6.xml><?xml version="1.0" encoding="utf-8"?>
<table xmlns="http://schemas.openxmlformats.org/spreadsheetml/2006/main" id="6" name="t_Coverage" displayName="t_Coverage" ref="A4:R110" headerRowCount="1">
  <autoFilter ref="A4:R110"/>
  <tableColumns count="18">
    <tableColumn id="1" name="Institution ID"/>
    <tableColumn id="2" name="Institution"/>
    <tableColumn id="3" name="Market"/>
    <tableColumn id="4" name="Category"/>
    <tableColumn id="5" name="Research status"/>
    <tableColumn id="6" name="Total assets"/>
    <tableColumn id="7" name="Deposits"/>
    <tableColumn id="8" name="Loans"/>
    <tableColumn id="9" name="Op. income"/>
    <tableColumn id="10" name="Net profit"/>
    <tableColumn id="11" name="AUM"/>
    <tableColumn id="12" name="AUA"/>
    <tableColumn id="13" name="Customers"/>
    <tableColumn id="14" name="People"/>
    <tableColumn id="15" name="Verified current"/>
    <tableColumn id="16" name="LinkedIn verified"/>
    <tableColumn id="17" name="Sources"/>
    <tableColumn id="18" name="Capability fields unresolved"/>
  </tableColumns>
  <tableStyleInfo name="TableStyleLight1" showRowStripes="1"/>
</table>
</file>

<file path=xl/tables/table7.xml><?xml version="1.0" encoding="utf-8"?>
<table xmlns="http://schemas.openxmlformats.org/spreadsheetml/2006/main" id="7" name="t_Correctionlog" displayName="t_Correctionlog" ref="A4:I17" headerRowCount="1">
  <autoFilter ref="A4:I17"/>
  <tableColumns count="9">
    <tableColumn id="1" name="Institution ID"/>
    <tableColumn id="2" name="Institution"/>
    <tableColumn id="3" name="Area"/>
    <tableColumn id="4" name="Field / item"/>
    <tableColumn id="5" name="Original"/>
    <tableColumn id="6" name="Finding"/>
    <tableColumn id="7" name="Now"/>
    <tableColumn id="8" name="Materiality"/>
    <tableColumn id="9" name="Source IDs"/>
  </tableColumns>
  <tableStyleInfo name="TableStyleLight1" showRowStripes="1"/>
</table>
</file>

<file path=xl/tables/table8.xml><?xml version="1.0" encoding="utf-8"?>
<table xmlns="http://schemas.openxmlformats.org/spreadsheetml/2006/main" id="8" name="t_Discrepanciesopenitems" displayName="t_Discrepanciesopenitems" ref="A4:G22" headerRowCount="1">
  <autoFilter ref="A4:G22"/>
  <tableColumns count="7">
    <tableColumn id="1" name="Kind"/>
    <tableColumn id="2" name="Institution ID"/>
    <tableColumn id="3" name="Institution"/>
    <tableColumn id="4" name="Field"/>
    <tableColumn id="5" name="Detail"/>
    <tableColumn id="6" name="Resolution"/>
    <tableColumn id="7" name="Source IDs"/>
  </tableColumns>
  <tableStyleInfo name="TableStyleLight1" showRowStripes="1"/>
</table>
</file>

<file path=xl/tables/table9.xml><?xml version="1.0" encoding="utf-8"?>
<table xmlns="http://schemas.openxmlformats.org/spreadsheetml/2006/main" id="9" name="t_Sourceregister" displayName="t_Sourceregister" ref="A4:L35" headerRowCount="1">
  <autoFilter ref="A4:L35"/>
  <tableColumns count="12">
    <tableColumn id="1" name="Source ID"/>
    <tableColumn id="2" name="Institution ID"/>
    <tableColumn id="3" name="Institution"/>
    <tableColumn id="4" name="Title"/>
    <tableColumn id="5" name="Publisher"/>
    <tableColumn id="6" name="Document type"/>
    <tableColumn id="7" name="Tier"/>
    <tableColumn id="8" name="Published"/>
    <tableColumn id="9" name="Checked"/>
    <tableColumn id="10" name="Language"/>
    <tableColumn id="11" name="Link check"/>
    <tableColumn id="12" name="URL"/>
  </tableColumns>
  <tableStyleInfo name="TableStyleLight1" showRowStripes="1"/>
</table>
</file>

<file path=xl/tables/table10.xml><?xml version="1.0" encoding="utf-8"?>
<table xmlns="http://schemas.openxmlformats.org/spreadsheetml/2006/main" id="10" name="t_Datadictionary" displayName="t_Datadictionary" ref="A4:C34" headerRowCount="1">
  <autoFilter ref="A4:C34"/>
  <tableColumns count="3">
    <tableColumn id="1" name="Sheet / table"/>
    <tableColumn id="2" name="Field"/>
    <tableColumn id="3" name="Definition"/>
  </tableColumns>
  <tableStyleInfo name="TableStyleLight1" showRowStripes="1"/>
</table>
</file>

<file path=xl/tables/table11.xml><?xml version="1.0" encoding="utf-8"?>
<table xmlns="http://schemas.openxmlformats.org/spreadsheetml/2006/main" id="11" name="t_FXrates" displayName="t_FXrates" ref="A4:F15" headerRowCount="1">
  <autoFilter ref="A4:F15"/>
  <tableColumns count="6">
    <tableColumn id="1" name="Currency"/>
    <tableColumn id="2" name="Date / period"/>
    <tableColumn id="3" name="Per USD"/>
    <tableColumn id="4" name="Basis"/>
    <tableColumn id="5" name="Source"/>
    <tableColumn id="6" name="URL"/>
  </tableColumns>
  <tableStyleInfo name="TableStyleLight1" showRowStripes="1"/>
</table>
</file>

<file path=xl/tables/table12.xml><?xml version="1.0" encoding="utf-8"?>
<table xmlns="http://schemas.openxmlformats.org/spreadsheetml/2006/main" id="12" name="t_Universeexclusions" displayName="t_Universeexclusions" ref="A4:D125" headerRowCount="1">
  <autoFilter ref="A4:D125"/>
  <tableColumns count="4">
    <tableColumn id="1" name="Kind"/>
    <tableColumn id="2" name="ID"/>
    <tableColumn id="3" name="Name"/>
    <tableColumn id="4" name="Detail"/>
  </tableColumns>
  <tableStyleInfo name="TableStyleLight1" showRowStripes="1"/>
</table>
</file>

<file path=xl/tables/table13.xml><?xml version="1.0" encoding="utf-8"?>
<table xmlns="http://schemas.openxmlformats.org/spreadsheetml/2006/main" id="13" name="t_QAchecks" displayName="t_QAchecks" ref="A4:C9" headerRowCount="1">
  <autoFilter ref="A4:C9"/>
  <tableColumns count="3">
    <tableColumn id="1" name="Check"/>
    <tableColumn id="2" name="Count"/>
    <tableColumn id="3" name="Items"/>
  </tableColumns>
  <tableStyleInfo name="TableStyleLight1" showRowStripes="1"/>
</table>
</file>

<file path=xl/tables/table14.xml><?xml version="1.0" encoding="utf-8"?>
<table xmlns="http://schemas.openxmlformats.org/spreadsheetml/2006/main" id="14" name="t_Relationshipcontactsinternal" displayName="t_Relationshipcontactsinternal" ref="A4:I13" headerRowCount="1">
  <autoFilter ref="A4:I13"/>
  <tableColumns count="9">
    <tableColumn id="1" name="Origin"/>
    <tableColumn id="2" name="Institution"/>
    <tableColumn id="3" name="Name / item"/>
    <tableColumn id="4" name="Title / value as recorded"/>
    <tableColumn id="5" name="Status as recorded"/>
    <tableColumn id="6" name="Evidence date"/>
    <tableColumn id="7" name="Business email (prior correspondence)"/>
    <tableColumn id="8" name="Internal link"/>
    <tableColumn id="9" name="Note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sarwa.co" TargetMode="External" Id="rId1"/><Relationship Type="http://schemas.openxmlformats.org/officeDocument/2006/relationships/table" Target="/xl/tables/table1.xml" Id="rId2"/></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www.linkedin.com/in/markchahwan/" TargetMode="External" Id="rId1"/><Relationship Type="http://schemas.openxmlformats.org/officeDocument/2006/relationships/hyperlink" Target="https://www.linkedin.com/in/jadsayegh/" TargetMode="External" Id="rId2"/><Relationship Type="http://schemas.openxmlformats.org/officeDocument/2006/relationships/hyperlink" Target="https://www.linkedin.com/in/nadine-mezher/" TargetMode="External" Id="rId3"/><Relationship Type="http://schemas.openxmlformats.org/officeDocument/2006/relationships/hyperlink" Target="https://www.linkedin.com/in/robin-harb-46256a8b/" TargetMode="External" Id="rId4"/><Relationship Type="http://schemas.openxmlformats.org/officeDocument/2006/relationships/table" Target="/xl/tables/table3.xml" Id="rId5"/></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hyperlink" Target="https://www.sarwa.co/" TargetMode="External" Id="rId1"/><Relationship Type="http://schemas.openxmlformats.org/officeDocument/2006/relationships/hyperlink" Target="https://www.sarwa.co/en/about" TargetMode="External" Id="rId2"/><Relationship Type="http://schemas.openxmlformats.org/officeDocument/2006/relationships/hyperlink" Target="https://www.adgm.com/public-registers/fsra/fsf/sarwa-digital-wealth-capital-limited" TargetMode="External" Id="rId3"/><Relationship Type="http://schemas.openxmlformats.org/officeDocument/2006/relationships/hyperlink" Target="https://www.sarwa.co/blog/what-is-sarwa-and-how-does-it-work" TargetMode="External" Id="rId4"/><Relationship Type="http://schemas.openxmlformats.org/officeDocument/2006/relationships/hyperlink" Target="https://www.sarwa.co/blog/is-sarwa-safe/" TargetMode="External" Id="rId5"/><Relationship Type="http://schemas.openxmlformats.org/officeDocument/2006/relationships/hyperlink" Target="https://www.sarwa.co/en/product/invest" TargetMode="External" Id="rId6"/><Relationship Type="http://schemas.openxmlformats.org/officeDocument/2006/relationships/hyperlink" Target="https://www.sarwa.co/en/product/invest/private-wealth" TargetMode="External" Id="rId7"/><Relationship Type="http://schemas.openxmlformats.org/officeDocument/2006/relationships/hyperlink" Target="https://www.sarwa.co/en/product/save" TargetMode="External" Id="rId8"/><Relationship Type="http://schemas.openxmlformats.org/officeDocument/2006/relationships/hyperlink" Target="https://www.sarwa.co/en/product/trade" TargetMode="External" Id="rId9"/><Relationship Type="http://schemas.openxmlformats.org/officeDocument/2006/relationships/hyperlink" Target="https://www.sarwa.co/en/product/trade/options" TargetMode="External" Id="rId10"/><Relationship Type="http://schemas.openxmlformats.org/officeDocument/2006/relationships/hyperlink" Target="https://www.sarwa.co/en/pricing" TargetMode="External" Id="rId11"/><Relationship Type="http://schemas.openxmlformats.org/officeDocument/2006/relationships/hyperlink" Target="https://www.sarwa.co/llms.txt" TargetMode="External" Id="rId12"/><Relationship Type="http://schemas.openxmlformats.org/officeDocument/2006/relationships/hyperlink" Target="https://www.sarwa.co/en/three-percent-match" TargetMode="External" Id="rId13"/><Relationship Type="http://schemas.openxmlformats.org/officeDocument/2006/relationships/hyperlink" Target="https://mediaoffice.ae/en/news/2026/may/04-05/founded-in-difc-uaes-sarwa-hits-usd-1-billion-in-assets-amid-retail-trading-surge" TargetMode="External" Id="rId14"/><Relationship Type="http://schemas.openxmlformats.org/officeDocument/2006/relationships/hyperlink" Target="https://ffnews.com/newsarticle/tradetech/sarwa-reaches-1b-in-client-assets-a-first-for-a-homegrown-uae-fintech/" TargetMode="External" Id="rId15"/><Relationship Type="http://schemas.openxmlformats.org/officeDocument/2006/relationships/hyperlink" Target="https://mena.entrepreneur.com/business-news/uae-based-sarwa-becomes-first-homegrown-fintech-to-reach-us1-billion-in-assets" TargetMode="External" Id="rId16"/><Relationship Type="http://schemas.openxmlformats.org/officeDocument/2006/relationships/hyperlink" Target="https://www.forbesmiddleeast.com/lists/the-middle-easts-fintech-50-2026/sarwa/" TargetMode="External" Id="rId17"/><Relationship Type="http://schemas.openxmlformats.org/officeDocument/2006/relationships/hyperlink" Target="https://www.wamda.com/en/2021/08/sarwa-closes-15-million-series-b-round-led-mubadala" TargetMode="External" Id="rId18"/><Relationship Type="http://schemas.openxmlformats.org/officeDocument/2006/relationships/hyperlink" Target="https://www.thenationalnews.com/business/money/rob-advisory-sarwa-sets-eye-on-abu-dhabi-as-it-raises-8-4m-in-new-financing-1.967656" TargetMode="External" Id="rId19"/><Relationship Type="http://schemas.openxmlformats.org/officeDocument/2006/relationships/hyperlink" Target="https://cma.gov.sa/en/MediaCenter/NEWS/pages/CMA_N_2840.aspx" TargetMode="External" Id="rId20"/><Relationship Type="http://schemas.openxmlformats.org/officeDocument/2006/relationships/hyperlink" Target="https://alpaca.markets/blog/sarwa-first-fintech-to-launch-options-trading-in-the-middle-east/" TargetMode="External" Id="rId21"/><Relationship Type="http://schemas.openxmlformats.org/officeDocument/2006/relationships/hyperlink" Target="https://www.dfsa.ae/news/dfsa-fines-sarwa-digital-wealth-limited-making-public-offer-shares-without-approved-prospectus" TargetMode="External" Id="rId22"/><Relationship Type="http://schemas.openxmlformats.org/officeDocument/2006/relationships/hyperlink" Target="https://adgm.com/media/announcements/adgms-financial-regulator-fines-sarwa-digital-wealth-capital-limited" TargetMode="External" Id="rId23"/><Relationship Type="http://schemas.openxmlformats.org/officeDocument/2006/relationships/hyperlink" Target="https://dfsa.ae/public-register/individuals/mr-mark-chahwan" TargetMode="External" Id="rId24"/><Relationship Type="http://schemas.openxmlformats.org/officeDocument/2006/relationships/hyperlink" Target="https://mena.entrepreneur.com/finance/the-finance-frontier-2026-mark-chahwan-nadine-mezher-and-jad-sayegh-co-founders-sarwa" TargetMode="External" Id="rId25"/><Relationship Type="http://schemas.openxmlformats.org/officeDocument/2006/relationships/hyperlink" Target="https://www.one-fs.com/p/how-sarwa-built-one-of-the-uaes-smoothest" TargetMode="External" Id="rId26"/><Relationship Type="http://schemas.openxmlformats.org/officeDocument/2006/relationships/hyperlink" Target="https://www.linkedin.com/in/markchahwan/" TargetMode="External" Id="rId27"/><Relationship Type="http://schemas.openxmlformats.org/officeDocument/2006/relationships/hyperlink" Target="https://www.linkedin.com/in/jadsayegh/" TargetMode="External" Id="rId28"/><Relationship Type="http://schemas.openxmlformats.org/officeDocument/2006/relationships/hyperlink" Target="https://www.linkedin.com/in/nadine-mezher/" TargetMode="External" Id="rId29"/><Relationship Type="http://schemas.openxmlformats.org/officeDocument/2006/relationships/hyperlink" Target="https://www.linkedin.com/in/robin-harb-46256a8b/" TargetMode="External" Id="rId30"/><Relationship Type="http://schemas.openxmlformats.org/officeDocument/2006/relationships/hyperlink" Target="https://www.sarwa.co/ar" TargetMode="External" Id="rId31"/><Relationship Type="http://schemas.openxmlformats.org/officeDocument/2006/relationships/table" Target="/xl/tables/table9.xml" Id="rId32"/></Relationships>
</file>

<file path=xl/worksheets/_rels/sheet12.xml.rels><Relationships xmlns="http://schemas.openxmlformats.org/package/2006/relationships"><Relationship Type="http://schemas.openxmlformats.org/officeDocument/2006/relationships/table" Target="/xl/tables/table10.xml" Id="rId1"/></Relationships>
</file>

<file path=xl/worksheets/_rels/sheet13.xml.rels><Relationships xmlns="http://schemas.openxmlformats.org/package/2006/relationships"><Relationship Type="http://schemas.openxmlformats.org/officeDocument/2006/relationships/hyperlink" Target="https://www.centralbank.ae/en/" TargetMode="External" Id="rId1"/><Relationship Type="http://schemas.openxmlformats.org/officeDocument/2006/relationships/hyperlink" Target="https://www.sama.gov.sa/" TargetMode="External" Id="rId2"/><Relationship Type="http://schemas.openxmlformats.org/officeDocument/2006/relationships/hyperlink" Target="https://www.qcb.gov.qa/" TargetMode="External" Id="rId3"/><Relationship Type="http://schemas.openxmlformats.org/officeDocument/2006/relationships/hyperlink" Target="https://www.cbb.gov.bh/" TargetMode="External" Id="rId4"/><Relationship Type="http://schemas.openxmlformats.org/officeDocument/2006/relationships/hyperlink" Target="https://cbo.gov.om/" TargetMode="External" Id="rId5"/><Relationship Type="http://schemas.openxmlformats.org/officeDocument/2006/relationships/hyperlink" Target="https://www.cbk.gov.kw/en/monetary-policy/market-operations/exchange-rates/usd" TargetMode="External" Id="rId6"/><Relationship Type="http://schemas.openxmlformats.org/officeDocument/2006/relationships/hyperlink" Target="https://www.cbk.gov.kw/en/monetary-policy/market-operations/exchange-rates/usd" TargetMode="External" Id="rId7"/><Relationship Type="http://schemas.openxmlformats.org/officeDocument/2006/relationships/hyperlink" Target="https://www.cbk.gov.kw/en/monetary-policy/market-operations/exchange-rates/usd" TargetMode="External" Id="rId8"/><Relationship Type="http://schemas.openxmlformats.org/officeDocument/2006/relationships/hyperlink" Target="https://www.cbk.gov.kw/en/monetary-policy/market-operations/exchange-rates/usd" TargetMode="External" Id="rId9"/><Relationship Type="http://schemas.openxmlformats.org/officeDocument/2006/relationships/hyperlink" Target="https://www.cbk.gov.kw/en/monetary-policy/exchange-rate-policy" TargetMode="External" Id="rId10"/><Relationship Type="http://schemas.openxmlformats.org/officeDocument/2006/relationships/hyperlink" Target="https://www.cbk.gov.kw/en/monetary-policy/market-operations/exchange-rates/usd" TargetMode="External" Id="rId11"/><Relationship Type="http://schemas.openxmlformats.org/officeDocument/2006/relationships/table" Target="/xl/tables/table11.xml" Id="rId12"/></Relationships>
</file>

<file path=xl/worksheets/_rels/sheet14.xml.rels><Relationships xmlns="http://schemas.openxmlformats.org/package/2006/relationships"><Relationship Type="http://schemas.openxmlformats.org/officeDocument/2006/relationships/table" Target="/xl/tables/table12.xml" Id="rId1"/></Relationships>
</file>

<file path=xl/worksheets/_rels/sheet15.xml.rels><Relationships xmlns="http://schemas.openxmlformats.org/package/2006/relationships"><Relationship Type="http://schemas.openxmlformats.org/officeDocument/2006/relationships/table" Target="/xl/tables/table13.xml" Id="rId1"/></Relationships>
</file>

<file path=xl/worksheets/_rels/sheet16.xml.rels><Relationships xmlns="http://schemas.openxmlformats.org/package/2006/relationships"><Relationship Type="http://schemas.openxmlformats.org/officeDocument/2006/relationships/table" Target="/xl/tables/table14.xml" Id="rId1"/></Relationships>
</file>

<file path=xl/worksheets/sheet1.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150" customWidth="1" min="1" max="1"/>
  </cols>
  <sheetData>
    <row r="1">
      <c r="A1" s="1" t="inlineStr">
        <is>
          <t>ARTA GCC Financial Institutions Database</t>
        </is>
      </c>
    </row>
    <row r="2">
      <c r="A2" s="2" t="inlineStr">
        <is>
          <t>Phase 1 research foundation · data as of 2026-10-12 · generated 2026-10-12T13:51:01</t>
        </is>
      </c>
    </row>
    <row r="3">
      <c r="A3" s="3" t="inlineStr"/>
    </row>
    <row r="4">
      <c r="A4" s="4" t="inlineStr">
        <is>
          <t>What this is</t>
        </is>
      </c>
    </row>
    <row r="5">
      <c r="A5" s="5" t="inlineStr">
        <is>
          <t>A verified database of 1 GCC banks, bank-owned capital-market arms, non-bank wealth/investment firms and international banks' GCC operations, with 5 executives, 4 dated financial data points and 31 cited sources. Built for ARTA's partnerships team (Wissam, Hani) for partner research, account planning and meeting preparation.</t>
        </is>
      </c>
    </row>
    <row r="6">
      <c r="A6" s="3" t="inlineStr"/>
    </row>
    <row r="7">
      <c r="A7" s="4" t="inlineStr">
        <is>
          <t>How to use the sheets</t>
        </is>
      </c>
    </row>
    <row r="8">
      <c r="A8" s="5" t="inlineStr">
        <is>
          <t>Institutions — one row per institution; USD figures at the standard dates; filter by market, category, model, size band or tier.</t>
        </is>
      </c>
    </row>
    <row r="9">
      <c r="A9" s="5" t="inlineStr">
        <is>
          <t>Financials — every data point with value, unit, original currency, USD, period, scope, definition, status, page locator and source.</t>
        </is>
      </c>
    </row>
    <row r="10">
      <c r="A10" s="5" t="inlineStr">
        <is>
          <t>Executives — leadership and decision-makers; role status, appointment date, career, education, LinkedIn verification status, sources.</t>
        </is>
      </c>
    </row>
    <row r="11">
      <c r="A11" s="5" t="inlineStr">
        <is>
          <t>Capabilities — wealth, brokerage, asset management, digital investing, advisory/discretionary, model portfolios, structured products, private markets, Islamic wealth: Yes / No / Not found / Unclear, with detail and sources.</t>
        </is>
      </c>
    </row>
    <row r="12">
      <c r="A12" s="5" t="inlineStr">
        <is>
          <t>Partners &amp; initiatives — named technology/product partners and dated launches, acquisitions and strategy moves.</t>
        </is>
      </c>
    </row>
    <row r="13">
      <c r="A13" s="5" t="inlineStr">
        <is>
          <t>ARTA priorities — transparent partner-fit score. Change the weights in row 5 of that sheet; scores and tiers recalculate.</t>
        </is>
      </c>
    </row>
    <row r="14">
      <c r="A14" s="5" t="inlineStr">
        <is>
          <t>Coverage — completed vs outstanding institutions, field availability, unavailable fields. Correction log — every material change to the 7 Oct 2026 workbook. Discrepancies &amp; open items — unresolved conflicts and next checks.</t>
        </is>
      </c>
    </row>
    <row r="15">
      <c r="A15" s="5" t="inlineStr">
        <is>
          <t>Source register — every source with tier, document type, publication date and date checked. Data dictionary — every field defined. FX rates — the conversion basis.</t>
        </is>
      </c>
    </row>
    <row r="16">
      <c r="A16" s="3" t="inlineStr"/>
    </row>
    <row r="17">
      <c r="A17" s="4" t="inlineStr">
        <is>
          <t>Reading the data</t>
        </is>
      </c>
    </row>
    <row r="18">
      <c r="A18" s="5" t="inlineStr">
        <is>
          <t>Standard comparison dates: balance sheet at 2026-06-30 (H1 2026); income for FY2025. A figure at another date is flagged and should not be compared directly.</t>
        </is>
      </c>
    </row>
    <row r="19">
      <c r="A19" s="5" t="inlineStr">
        <is>
          <t>USD conversion: AED 3.6725, SAR 3.75, QAR 3.64, BHD 0.376, OMR 0.3845 per USD (official pegs). KWD at the Central Bank of Kuwait rate for the period (period-end for balance sheet; period average for income).</t>
        </is>
      </c>
    </row>
    <row r="20">
      <c r="A20" s="5" t="inlineStr">
        <is>
          <t>AUM is never inferred from total assets, deposits, custody or fiduciary assets. If an institution does not publish AUM, the database says 'Not publicly disclosed' and records where we looked.</t>
        </is>
      </c>
    </row>
    <row r="21">
      <c r="A21" s="5" t="inlineStr">
        <is>
          <t>Status values: Verified · Requires verification · Conflicting sources · Not publicly disclosed · Not found after research. People: Verified current · Requires verification · Conflicting sources · Departed.</t>
        </is>
      </c>
    </row>
    <row r="22">
      <c r="A22" s="5" t="inlineStr">
        <is>
          <t>Group figures include subsidiaries profiled separately (e.g. Emirates Islamic inside Emirates NBD; Kamco inside Burgan). Do not add parent and subsidiary figures together.</t>
        </is>
      </c>
    </row>
    <row r="23">
      <c r="A23" s="5" t="inlineStr">
        <is>
          <t>The ARTA score is a screening aid computed only from evidence in the profiles. It is not a recommendation; flags (Islamic shelf, KSA licensing, competing product) are listed but not scored.</t>
        </is>
      </c>
    </row>
    <row r="24">
      <c r="A24" s="3" t="inlineStr"/>
    </row>
    <row r="25">
      <c r="A25" s="4" t="inlineStr">
        <is>
          <t>Refreshing</t>
        </is>
      </c>
    </row>
    <row r="26">
      <c r="A26" s="5" t="inlineStr">
        <is>
          <t>1. Each institution is one JSON file in research/institutions/, written to research/RESEARCH_PROTOCOL.md.  2. Edit or add files with sourced, dated values.  3. Run: python3 tools/build_db.py  →  python3 tools/build_workbook.py  →  python3 tools/build_site.py.  4. Republish the website from site/gcc-fi-intelligence.html.  5. Twice a year roll the standard dates forward and re-check leadership pages.</t>
        </is>
      </c>
    </row>
    <row r="27">
      <c r="A27" s="5" t="inlineStr">
        <is>
          <t>Machine-readable exports: exports/database.json (full), exports/*.csv (one per table), exports/gcc_fi.sqlite. QA results: exports/qa_report.json.</t>
        </is>
      </c>
    </row>
    <row r="28">
      <c r="A28" s="5" t="inlineStr">
        <is>
          <t>The original workbook is preserved unchanged in '00 Original workbook (unchanged)'.</t>
        </is>
      </c>
    </row>
    <row r="29">
      <c r="A29" s="3" t="inlineStr"/>
    </row>
    <row r="30">
      <c r="A30" s="4" t="inlineStr">
        <is>
          <t>Internal data</t>
        </is>
      </c>
    </row>
    <row r="31">
      <c r="A31" s="5" t="inlineStr">
        <is>
          <t>The sheet 'Relationship contacts (internal)' carries prior-correspondence contacts and internal links from the original workbook. It is not included in the website or exports.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P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12" customWidth="1" min="3" max="3"/>
    <col width="30" customWidth="1" min="4" max="4"/>
    <col width="22" customWidth="1" min="5" max="5"/>
    <col width="12" customWidth="1" min="6" max="6"/>
    <col width="12" customWidth="1" min="7" max="7"/>
    <col width="22" customWidth="1" min="8" max="8"/>
    <col width="24" customWidth="1" min="9" max="9"/>
    <col width="22" customWidth="1" min="10" max="10"/>
    <col width="7" customWidth="1" min="11" max="11"/>
    <col width="9" customWidth="1" min="12" max="12"/>
    <col width="13" customWidth="1" min="13" max="13"/>
    <col width="20" customWidth="1" min="14" max="14"/>
    <col width="28" customWidth="1" min="15" max="15"/>
    <col width="11" customWidth="1" min="16" max="16"/>
    <col width="12" customWidth="1" min="17" max="17"/>
    <col width="11" customWidth="1" min="18" max="18"/>
    <col width="12" customWidth="1" min="19" max="19"/>
    <col width="11" customWidth="1" min="20" max="20"/>
    <col width="12" customWidth="1" min="21" max="21"/>
    <col width="11" customWidth="1" min="22" max="22"/>
    <col width="12" customWidth="1" min="23" max="23"/>
    <col width="11" customWidth="1" min="24" max="24"/>
    <col width="12" customWidth="1" min="25" max="25"/>
    <col width="11" customWidth="1" min="26" max="26"/>
    <col width="12" customWidth="1" min="27" max="27"/>
    <col width="11" customWidth="1" min="28" max="28"/>
    <col width="12" customWidth="1" min="29" max="29"/>
    <col width="11" customWidth="1" min="30" max="30"/>
    <col width="12" customWidth="1" min="31" max="31"/>
    <col width="11" customWidth="1" min="32" max="32"/>
    <col width="14" customWidth="1" min="33" max="33"/>
    <col width="18" customWidth="1" min="34" max="34"/>
    <col width="50" customWidth="1" min="35" max="35"/>
    <col width="36" customWidth="1" min="36" max="36"/>
    <col width="9" customWidth="1" min="37" max="37"/>
    <col width="9" customWidth="1" min="38" max="38"/>
    <col width="8" customWidth="1" min="39" max="39"/>
    <col width="9" customWidth="1" min="40" max="40"/>
    <col width="8" customWidth="1" min="41" max="41"/>
    <col width="11" customWidth="1" min="42" max="42"/>
    <col width="9" customWidth="1" min="43" max="43"/>
    <col width="11" customWidth="1" min="44" max="44"/>
  </cols>
  <sheetData>
    <row r="1">
      <c r="A1" s="6" t="inlineStr">
        <is>
          <t>Institutions</t>
        </is>
      </c>
    </row>
    <row r="2">
      <c r="A2" s="7" t="inlineStr">
        <is>
          <t>USD at standard dates: balance sheet 2026-06-30, income FY2025. Period columns show any exception.</t>
        </is>
      </c>
    </row>
    <row r="4" ht="30" customHeight="1">
      <c r="A4" s="8" t="inlineStr">
        <is>
          <t>ID</t>
        </is>
      </c>
      <c r="B4" s="8" t="inlineStr">
        <is>
          <t>Institution</t>
        </is>
      </c>
      <c r="C4" s="8" t="inlineStr">
        <is>
          <t>Short name</t>
        </is>
      </c>
      <c r="D4" s="8" t="inlineStr">
        <is>
          <t>Legal name</t>
        </is>
      </c>
      <c r="E4" s="8" t="inlineStr">
        <is>
          <t>Arabic name</t>
        </is>
      </c>
      <c r="F4" s="8" t="inlineStr">
        <is>
          <t>Market</t>
        </is>
      </c>
      <c r="G4" s="8" t="inlineStr">
        <is>
          <t>HQ city</t>
        </is>
      </c>
      <c r="H4" s="8" t="inlineStr">
        <is>
          <t>Category</t>
        </is>
      </c>
      <c r="I4" s="8" t="inlineStr">
        <is>
          <t>Type</t>
        </is>
      </c>
      <c r="J4" s="8" t="inlineStr">
        <is>
          <t>Banking model</t>
        </is>
      </c>
      <c r="K4" s="8" t="inlineStr">
        <is>
          <t>Listed</t>
        </is>
      </c>
      <c r="L4" s="8" t="inlineStr">
        <is>
          <t>Exchange</t>
        </is>
      </c>
      <c r="M4" s="8" t="inlineStr">
        <is>
          <t>Ticker</t>
        </is>
      </c>
      <c r="N4" s="8" t="inlineStr">
        <is>
          <t>Parent (profiled)</t>
        </is>
      </c>
      <c r="O4" s="8" t="inlineStr">
        <is>
          <t>Website</t>
        </is>
      </c>
      <c r="P4" s="8" t="inlineStr">
        <is>
          <t>Total assets (USD bn)</t>
        </is>
      </c>
      <c r="Q4" s="8" t="inlineStr">
        <is>
          <t>Assets period</t>
        </is>
      </c>
      <c r="R4" s="8" t="inlineStr">
        <is>
          <t>Customer deposits (USD bn)</t>
        </is>
      </c>
      <c r="S4" s="8" t="inlineStr">
        <is>
          <t>Deposits period</t>
        </is>
      </c>
      <c r="T4" s="8" t="inlineStr">
        <is>
          <t>Net loans (USD bn)</t>
        </is>
      </c>
      <c r="U4" s="8" t="inlineStr">
        <is>
          <t>Loans period</t>
        </is>
      </c>
      <c r="V4" s="8" t="inlineStr">
        <is>
          <t>Operating income (USD bn)</t>
        </is>
      </c>
      <c r="W4" s="8" t="inlineStr">
        <is>
          <t>Op. income period</t>
        </is>
      </c>
      <c r="X4" s="8" t="inlineStr">
        <is>
          <t>Net profit (USD bn)</t>
        </is>
      </c>
      <c r="Y4" s="8" t="inlineStr">
        <is>
          <t>Net profit period</t>
        </is>
      </c>
      <c r="Z4" s="8" t="inlineStr">
        <is>
          <t>AUM (USD bn)</t>
        </is>
      </c>
      <c r="AA4" s="8" t="inlineStr">
        <is>
          <t>AUM period / status</t>
        </is>
      </c>
      <c r="AB4" s="8" t="inlineStr">
        <is>
          <t>AUA (USD bn)</t>
        </is>
      </c>
      <c r="AC4" s="8" t="inlineStr">
        <is>
          <t>AUA period / status</t>
        </is>
      </c>
      <c r="AD4" s="8" t="inlineStr">
        <is>
          <t>Customers</t>
        </is>
      </c>
      <c r="AE4" s="8" t="inlineStr">
        <is>
          <t>Customers period</t>
        </is>
      </c>
      <c r="AF4" s="8" t="inlineStr">
        <is>
          <t>Size band</t>
        </is>
      </c>
      <c r="AG4" s="8" t="inlineStr">
        <is>
          <t>Ownership</t>
        </is>
      </c>
      <c r="AH4" s="8" t="inlineStr">
        <is>
          <t>Government link</t>
        </is>
      </c>
      <c r="AI4" s="8" t="inlineStr">
        <is>
          <t>ARTA score (default)</t>
        </is>
      </c>
      <c r="AJ4" s="8" t="inlineStr">
        <is>
          <t>ARTA tier (default)</t>
        </is>
      </c>
      <c r="AK4" s="8" t="inlineStr">
        <is>
          <t>People</t>
        </is>
      </c>
      <c r="AL4" s="8" t="inlineStr">
        <is>
          <t>People verified current</t>
        </is>
      </c>
      <c r="AM4" s="8" t="inlineStr">
        <is>
          <t>Sources</t>
        </is>
      </c>
      <c r="AN4" s="8" t="inlineStr">
        <is>
          <t>Research status</t>
        </is>
      </c>
      <c r="AO4" s="8" t="inlineStr">
        <is>
          <t>In original workbook</t>
        </is>
      </c>
      <c r="AP4" s="8" t="inlineStr">
        <is>
          <t>Checked</t>
        </is>
      </c>
    </row>
    <row r="5">
      <c r="A5" s="9" t="inlineStr">
        <is>
          <t>ae-sarwa</t>
        </is>
      </c>
      <c r="B5" s="5" t="inlineStr">
        <is>
          <t>Sarwa</t>
        </is>
      </c>
      <c r="C5" s="9" t="inlineStr">
        <is>
          <t>Sarwa</t>
        </is>
      </c>
      <c r="D5" s="5" t="inlineStr">
        <is>
          <t>Sarwa Digital Wealth (Capital) Limited</t>
        </is>
      </c>
      <c r="E5" s="9" t="inlineStr">
        <is>
          <t>ثروة</t>
        </is>
      </c>
      <c r="F5" s="9" t="inlineStr">
        <is>
          <t>UAE</t>
        </is>
      </c>
      <c r="G5" s="9" t="inlineStr">
        <is>
          <t>Abu Dhabi</t>
        </is>
      </c>
      <c r="H5" s="9" t="inlineStr">
        <is>
          <t>Non-bank</t>
        </is>
      </c>
      <c r="I5" s="9" t="inlineStr">
        <is>
          <t>Digital wealth platform</t>
        </is>
      </c>
      <c r="J5" s="9" t="inlineStr">
        <is>
          <t>Conventional</t>
        </is>
      </c>
      <c r="K5" s="9" t="inlineStr">
        <is>
          <t>No</t>
        </is>
      </c>
      <c r="L5" s="9" t="n"/>
      <c r="M5" s="9" t="n"/>
      <c r="N5" s="9" t="n"/>
      <c r="O5" s="10" t="inlineStr">
        <is>
          <t>https://www.sarwa.co</t>
        </is>
      </c>
      <c r="P5" s="11" t="inlineStr">
        <is>
          <t>Not publicly disclosed</t>
        </is>
      </c>
      <c r="Q5" s="9" t="inlineStr">
        <is>
          <t>Not publicly disclosed</t>
        </is>
      </c>
      <c r="R5" s="11" t="n"/>
      <c r="S5" s="9" t="inlineStr"/>
      <c r="T5" s="11" t="n"/>
      <c r="U5" s="9" t="inlineStr"/>
      <c r="V5" s="11" t="inlineStr">
        <is>
          <t>Not publicly disclosed</t>
        </is>
      </c>
      <c r="W5" s="9" t="inlineStr">
        <is>
          <t>Not publicly disclosed</t>
        </is>
      </c>
      <c r="X5" s="11" t="inlineStr">
        <is>
          <t>Not publicly disclosed</t>
        </is>
      </c>
      <c r="Y5" s="9" t="inlineStr">
        <is>
          <t>Not publicly disclosed</t>
        </is>
      </c>
      <c r="Z5" s="11" t="n">
        <v>0.88</v>
      </c>
      <c r="AA5" s="9" t="inlineStr">
        <is>
          <t>End 2025</t>
        </is>
      </c>
      <c r="AB5" s="11" t="n"/>
      <c r="AC5" s="9" t="inlineStr"/>
      <c r="AD5" s="12" t="n">
        <v>300000</v>
      </c>
      <c r="AE5" s="9" t="inlineStr">
        <is>
          <t>December 2025</t>
        </is>
      </c>
      <c r="AF5" s="9" t="inlineStr">
        <is>
          <t>&lt; USD 1bn AUM</t>
        </is>
      </c>
      <c r="AG5" s="5" t="inlineStr">
        <is>
          <t>Privately held, venture-backed. Disclosed rounds: USD 1.3m pre-Series A (2018; Shorooq, MEVP, 500 Startups and others), USD 8.4m Series A (Jan 2020, led by KIPCO with DIFC, Abu Dhabi Investment Office, Vision Ventures, Hambro Perks) and USD 15m Series B (Aug 2021, led by Mubadala; total raised about USD 25m at that date). No later priced round found as of 12 Oct 2026. Shareholding percentages are not disclosed. The 2023 regulatory cases refer to an unnamed 'parent entity' whose shares were offered to clients.</t>
        </is>
      </c>
      <c r="AH5" s="5" t="inlineStr">
        <is>
          <t>Indirect minority backing only (stakes undisclosed): Mubadala (Abu Dhabi sovereign investor) led the 2021 Series B; DIFC FinTech Fund and Abu Dhabi Investment Office invested in 2020; ADQ is listed as a backer on the company's About page (checked 2026-10-12).</t>
        </is>
      </c>
      <c r="AI5" s="9" t="n">
        <v>55</v>
      </c>
      <c r="AJ5" s="9" t="inlineStr">
        <is>
          <t>Tier 2</t>
        </is>
      </c>
      <c r="AK5" s="9" t="n">
        <v>5</v>
      </c>
      <c r="AL5" s="9" t="n">
        <v>2</v>
      </c>
      <c r="AM5" s="9" t="n">
        <v>31</v>
      </c>
      <c r="AN5" s="13" t="inlineStr">
        <is>
          <t>Complete</t>
        </is>
      </c>
      <c r="AO5" s="9" t="inlineStr">
        <is>
          <t>No</t>
        </is>
      </c>
      <c r="AP5" s="9" t="inlineStr">
        <is>
          <t>2026-10-12</t>
        </is>
      </c>
    </row>
  </sheetData>
  <hyperlinks>
    <hyperlink xmlns:r="http://schemas.openxmlformats.org/officeDocument/2006/relationships" ref="O5"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U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26" customWidth="1" min="3" max="3"/>
    <col width="18" customWidth="1" min="4" max="4"/>
    <col width="14" customWidth="1" min="5" max="5"/>
    <col width="9" customWidth="1" min="6" max="6"/>
    <col width="8" customWidth="1" min="7" max="7"/>
    <col width="16" customWidth="1" min="8" max="8"/>
    <col width="10" customWidth="1" min="9" max="9"/>
    <col width="9" customWidth="1" min="10" max="10"/>
    <col width="22" customWidth="1" min="11" max="11"/>
    <col width="11" customWidth="1" min="12" max="12"/>
    <col width="14" customWidth="1" min="13" max="13"/>
    <col width="12" customWidth="1" min="14" max="14"/>
    <col width="9" customWidth="1" min="15" max="15"/>
    <col width="22" customWidth="1" min="16" max="16"/>
    <col width="46" customWidth="1" min="17" max="17"/>
    <col width="14" customWidth="1" min="18" max="18"/>
    <col width="18" customWidth="1" min="19" max="19"/>
    <col width="30" customWidth="1" min="20" max="20"/>
    <col width="26" customWidth="1" min="21" max="21"/>
  </cols>
  <sheetData>
    <row r="1">
      <c r="A1" s="6" t="inlineStr">
        <is>
          <t>Financial data points</t>
        </is>
      </c>
    </row>
    <row r="2">
      <c r="A2" s="7" t="inlineStr">
        <is>
          <t>One row per data point. Values in original currency and unit as reported; USD computed with the FX rates sheet.</t>
        </is>
      </c>
    </row>
    <row r="4" ht="30" customHeight="1">
      <c r="A4" s="8" t="inlineStr">
        <is>
          <t>Metric ID</t>
        </is>
      </c>
      <c r="B4" s="8" t="inlineStr">
        <is>
          <t>Institution ID</t>
        </is>
      </c>
      <c r="C4" s="8" t="inlineStr">
        <is>
          <t>Institution</t>
        </is>
      </c>
      <c r="D4" s="8" t="inlineStr">
        <is>
          <t>Metric</t>
        </is>
      </c>
      <c r="E4" s="8" t="inlineStr">
        <is>
          <t>Reported value</t>
        </is>
      </c>
      <c r="F4" s="8" t="inlineStr">
        <is>
          <t>Unit</t>
        </is>
      </c>
      <c r="G4" s="8" t="inlineStr">
        <is>
          <t>Currency</t>
        </is>
      </c>
      <c r="H4" s="8" t="inlineStr">
        <is>
          <t>Value (absolute)</t>
        </is>
      </c>
      <c r="I4" s="8" t="inlineStr">
        <is>
          <t>USD bn</t>
        </is>
      </c>
      <c r="J4" s="8" t="inlineStr">
        <is>
          <t>FX per USD</t>
        </is>
      </c>
      <c r="K4" s="8" t="inlineStr">
        <is>
          <t>FX basis</t>
        </is>
      </c>
      <c r="L4" s="8" t="inlineStr">
        <is>
          <t>Period end</t>
        </is>
      </c>
      <c r="M4" s="8" t="inlineStr">
        <is>
          <t>Period</t>
        </is>
      </c>
      <c r="N4" s="8" t="inlineStr">
        <is>
          <t>Period type</t>
        </is>
      </c>
      <c r="O4" s="8" t="inlineStr">
        <is>
          <t>Standard period?</t>
        </is>
      </c>
      <c r="P4" s="8" t="inlineStr">
        <is>
          <t>Scope</t>
        </is>
      </c>
      <c r="Q4" s="8" t="inlineStr">
        <is>
          <t>Definition</t>
        </is>
      </c>
      <c r="R4" s="8" t="inlineStr">
        <is>
          <t>Status</t>
        </is>
      </c>
      <c r="S4" s="8" t="inlineStr">
        <is>
          <t>Locator</t>
        </is>
      </c>
      <c r="T4" s="8" t="inlineStr">
        <is>
          <t>Note</t>
        </is>
      </c>
      <c r="U4" s="8" t="inlineStr">
        <is>
          <t>Source IDs</t>
        </is>
      </c>
    </row>
    <row r="5">
      <c r="A5" s="9" t="inlineStr">
        <is>
          <t>ae-sarwa:M1</t>
        </is>
      </c>
      <c r="B5" s="9" t="inlineStr">
        <is>
          <t>ae-sarwa</t>
        </is>
      </c>
      <c r="C5" s="9" t="inlineStr">
        <is>
          <t>Sarwa</t>
        </is>
      </c>
      <c r="D5" s="9" t="inlineStr">
        <is>
          <t>wealth_client_assets</t>
        </is>
      </c>
      <c r="E5" s="9" t="n">
        <v>1</v>
      </c>
      <c r="F5" s="9" t="inlineStr">
        <is>
          <t>billion</t>
        </is>
      </c>
      <c r="G5" s="9" t="inlineStr">
        <is>
          <t>USD</t>
        </is>
      </c>
      <c r="H5" s="12" t="n">
        <v>1000000000</v>
      </c>
      <c r="I5" s="14" t="n">
        <v>1</v>
      </c>
      <c r="J5" s="9" t="n">
        <v>1</v>
      </c>
      <c r="K5" s="9" t="inlineStr">
        <is>
          <t>peg</t>
        </is>
      </c>
      <c r="L5" s="9" t="inlineStr">
        <is>
          <t>2026-05</t>
        </is>
      </c>
      <c r="M5" s="9" t="inlineStr">
        <is>
          <t>May 2026 (announced 4 May 2026)</t>
        </is>
      </c>
      <c r="N5" s="9" t="inlineStr">
        <is>
          <t>point_in_time</t>
        </is>
      </c>
      <c r="O5" s="9" t="inlineStr">
        <is>
          <t>No</t>
        </is>
      </c>
      <c r="P5" s="9" t="inlineStr">
        <is>
          <t>All Sarwa products (Invest, Trade, Crypto, Save)</t>
        </is>
      </c>
      <c r="Q5" s="5" t="inlineStr">
        <is>
          <t>Client assets, company definition: fair value of all client holdings including equities, options, cryptocurrencies and cash across Sarwa Invest, Sarwa Trade, Sarwa Crypto and Sarwa Save</t>
        </is>
      </c>
      <c r="R5" s="13" t="inlineStr">
        <is>
          <t>Verified</t>
        </is>
      </c>
      <c r="S5" s="9" t="inlineStr"/>
      <c r="T5" s="5" t="inlineStr">
        <is>
          <t>Unaudited company claim ('crossed USD 1bn'). Includes self-directed and cash holdings, so it is not discretionary AUM. Some outlets call it 'AUM' (Forbes ME, FF News).</t>
        </is>
      </c>
      <c r="U5" s="5" t="inlineStr">
        <is>
          <t>ae-sarwa:S14; ae-sarwa:S15; ae-sarwa:S17</t>
        </is>
      </c>
    </row>
    <row r="6">
      <c r="A6" s="9" t="inlineStr">
        <is>
          <t>ae-sarwa:M2</t>
        </is>
      </c>
      <c r="B6" s="9" t="inlineStr">
        <is>
          <t>ae-sarwa</t>
        </is>
      </c>
      <c r="C6" s="9" t="inlineStr">
        <is>
          <t>Sarwa</t>
        </is>
      </c>
      <c r="D6" s="9" t="inlineStr">
        <is>
          <t>aum</t>
        </is>
      </c>
      <c r="E6" s="9" t="n">
        <v>880</v>
      </c>
      <c r="F6" s="9" t="inlineStr">
        <is>
          <t>million</t>
        </is>
      </c>
      <c r="G6" s="9" t="inlineStr">
        <is>
          <t>USD</t>
        </is>
      </c>
      <c r="H6" s="12" t="n">
        <v>880000000</v>
      </c>
      <c r="I6" s="14" t="n">
        <v>0.88</v>
      </c>
      <c r="J6" s="9" t="n">
        <v>1</v>
      </c>
      <c r="K6" s="9" t="inlineStr">
        <is>
          <t>peg</t>
        </is>
      </c>
      <c r="L6" s="9" t="inlineStr">
        <is>
          <t>2025-12-31</t>
        </is>
      </c>
      <c r="M6" s="9" t="inlineStr">
        <is>
          <t>End 2025</t>
        </is>
      </c>
      <c r="N6" s="9" t="inlineStr">
        <is>
          <t>point_in_time</t>
        </is>
      </c>
      <c r="O6" s="9" t="inlineStr">
        <is>
          <t>No</t>
        </is>
      </c>
      <c r="P6" s="9" t="inlineStr">
        <is>
          <t>Sarwa platform</t>
        </is>
      </c>
      <c r="Q6" s="5" t="inlineStr">
        <is>
          <t>Labelled 'assets under management' by the company blog; scope not defined</t>
        </is>
      </c>
      <c r="R6" s="15" t="inlineStr">
        <is>
          <t>Requires verification</t>
        </is>
      </c>
      <c r="S6" s="9" t="inlineStr">
        <is>
          <t>Company history section</t>
        </is>
      </c>
      <c r="T6" s="5" t="inlineStr">
        <is>
          <t>Unaudited company claim. The company appears to use 'AUM' and 'client assets' for the same broad measure (see client_assets definition), so this is probably total client assets, not discretionary AUM.</t>
        </is>
      </c>
      <c r="U6" s="5" t="inlineStr">
        <is>
          <t>ae-sarwa:S4</t>
        </is>
      </c>
    </row>
    <row r="7">
      <c r="A7" s="9" t="inlineStr">
        <is>
          <t>ae-sarwa:M3</t>
        </is>
      </c>
      <c r="B7" s="9" t="inlineStr">
        <is>
          <t>ae-sarwa</t>
        </is>
      </c>
      <c r="C7" s="9" t="inlineStr">
        <is>
          <t>Sarwa</t>
        </is>
      </c>
      <c r="D7" s="9" t="inlineStr">
        <is>
          <t>customers</t>
        </is>
      </c>
      <c r="E7" s="9" t="n">
        <v>300000</v>
      </c>
      <c r="F7" s="9" t="inlineStr">
        <is>
          <t>unit</t>
        </is>
      </c>
      <c r="G7" s="9" t="n"/>
      <c r="H7" s="12" t="n">
        <v>300000</v>
      </c>
      <c r="I7" s="14" t="n"/>
      <c r="J7" s="9" t="n"/>
      <c r="K7" s="9" t="inlineStr"/>
      <c r="L7" s="9" t="inlineStr">
        <is>
          <t>2025-12</t>
        </is>
      </c>
      <c r="M7" s="9" t="inlineStr">
        <is>
          <t>December 2025</t>
        </is>
      </c>
      <c r="N7" s="9" t="inlineStr">
        <is>
          <t>point_in_time</t>
        </is>
      </c>
      <c r="O7" s="9" t="inlineStr">
        <is>
          <t>No</t>
        </is>
      </c>
      <c r="P7" s="9" t="inlineStr">
        <is>
          <t>Sarwa platform</t>
        </is>
      </c>
      <c r="Q7" s="5" t="inlineStr">
        <is>
          <t>Registered users ('surpassed 300,000 registered users'); funded/active clients not disclosed</t>
        </is>
      </c>
      <c r="R7" s="15" t="inlineStr">
        <is>
          <t>Requires verification</t>
        </is>
      </c>
      <c r="S7" s="9" t="inlineStr">
        <is>
          <t>Sarwa entry, Fintech 50 2026</t>
        </is>
      </c>
      <c r="T7" s="5" t="inlineStr">
        <is>
          <t>Company-supplied figure reported by Forbes Middle East; not found on Sarwa's own pages. Earlier: 10,000 registered users (Jan 2020, S19); 40,000+ (Aug 2021, S18).</t>
        </is>
      </c>
      <c r="U7" s="5" t="inlineStr">
        <is>
          <t>ae-sarwa:S17</t>
        </is>
      </c>
    </row>
    <row r="8">
      <c r="A8" s="9" t="inlineStr">
        <is>
          <t>ae-sarwa:M4</t>
        </is>
      </c>
      <c r="B8" s="9" t="inlineStr">
        <is>
          <t>ae-sarwa</t>
        </is>
      </c>
      <c r="C8" s="9" t="inlineStr">
        <is>
          <t>Sarwa</t>
        </is>
      </c>
      <c r="D8" s="9" t="inlineStr">
        <is>
          <t>brokerage_trading_value</t>
        </is>
      </c>
      <c r="E8" s="9" t="n">
        <v>3</v>
      </c>
      <c r="F8" s="9" t="inlineStr">
        <is>
          <t>billion</t>
        </is>
      </c>
      <c r="G8" s="9" t="inlineStr">
        <is>
          <t>USD</t>
        </is>
      </c>
      <c r="H8" s="12" t="n">
        <v>3000000000</v>
      </c>
      <c r="I8" s="14" t="n">
        <v>3</v>
      </c>
      <c r="J8" s="9" t="n">
        <v>1</v>
      </c>
      <c r="K8" s="9" t="inlineStr">
        <is>
          <t>peg</t>
        </is>
      </c>
      <c r="L8" s="9" t="inlineStr">
        <is>
          <t>2025-12-31</t>
        </is>
      </c>
      <c r="M8" s="9" t="inlineStr">
        <is>
          <t>FY2025 (company: 'in a single year')</t>
        </is>
      </c>
      <c r="N8" s="9" t="inlineStr">
        <is>
          <t>duration</t>
        </is>
      </c>
      <c r="O8" s="9" t="inlineStr">
        <is>
          <t>No</t>
        </is>
      </c>
      <c r="P8" s="9" t="inlineStr">
        <is>
          <t>Sarwa platform</t>
        </is>
      </c>
      <c r="Q8" s="5" t="inlineStr">
        <is>
          <t>Trading volume (company claim)</t>
        </is>
      </c>
      <c r="R8" s="16" t="inlineStr">
        <is>
          <t>Conflicting sources</t>
        </is>
      </c>
      <c r="S8" s="9" t="inlineStr"/>
      <c r="T8" s="5" t="inlineStr">
        <is>
          <t>Company blog says USD 3bn trading volume in a single year (2025). Forbes ME says 'nearly USD 3bn' by Dec 2025 without saying whether that is cumulative. Alpaca said in Oct 2024 that Sarwa had passed USD 3bn total (cumulative) volume through Alpaca. Treat as indicative.</t>
        </is>
      </c>
      <c r="U8" s="5" t="inlineStr">
        <is>
          <t>ae-sarwa:S4; ae-sarwa:S17; ae-sarwa:S21</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W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3" customWidth="1" min="2" max="2"/>
    <col width="24" customWidth="1" min="3" max="3"/>
    <col width="10" customWidth="1" min="4" max="4"/>
    <col width="24" customWidth="1" min="5" max="5"/>
    <col width="18" customWidth="1" min="6" max="6"/>
    <col width="36" customWidth="1" min="7" max="7"/>
    <col width="22" customWidth="1" min="8" max="8"/>
    <col width="22" customWidth="1" min="9" max="9"/>
    <col width="18" customWidth="1" min="10" max="10"/>
    <col width="12" customWidth="1" min="11" max="11"/>
    <col width="11" customWidth="1" min="12" max="12"/>
    <col width="22" customWidth="1" min="13" max="13"/>
    <col width="60" customWidth="1" min="14" max="14"/>
    <col width="30" customWidth="1" min="15" max="15"/>
    <col width="16" customWidth="1" min="16" max="16"/>
    <col width="30" customWidth="1" min="17" max="17"/>
    <col width="18" customWidth="1" min="18" max="18"/>
    <col width="16" customWidth="1" min="19" max="19"/>
    <col width="40" customWidth="1" min="20" max="20"/>
    <col width="9" customWidth="1" min="21" max="21"/>
    <col width="22" customWidth="1" min="22" max="22"/>
    <col width="11" customWidth="1" min="23" max="23"/>
  </cols>
  <sheetData>
    <row r="1">
      <c r="A1" s="6" t="inlineStr">
        <is>
          <t>Executives and decision-makers</t>
        </is>
      </c>
    </row>
    <row r="2">
      <c r="A2" s="7" t="inlineStr">
        <is>
          <t>Professional information only. LinkedIn URLs only where linked officially or matched on name, current employer and title.</t>
        </is>
      </c>
    </row>
    <row r="4" ht="30" customHeight="1">
      <c r="A4" s="8" t="inlineStr">
        <is>
          <t>Person ID</t>
        </is>
      </c>
      <c r="B4" s="8" t="inlineStr">
        <is>
          <t>Institution ID</t>
        </is>
      </c>
      <c r="C4" s="8" t="inlineStr">
        <is>
          <t>Institution</t>
        </is>
      </c>
      <c r="D4" s="8" t="inlineStr">
        <is>
          <t>Market</t>
        </is>
      </c>
      <c r="E4" s="8" t="inlineStr">
        <is>
          <t>Name</t>
        </is>
      </c>
      <c r="F4" s="8" t="inlineStr">
        <is>
          <t>Arabic name</t>
        </is>
      </c>
      <c r="G4" s="8" t="inlineStr">
        <is>
          <t>Exact title</t>
        </is>
      </c>
      <c r="H4" s="8" t="inlineStr">
        <is>
          <t>Functions</t>
        </is>
      </c>
      <c r="I4" s="8" t="inlineStr">
        <is>
          <t>Entity</t>
        </is>
      </c>
      <c r="J4" s="8" t="inlineStr">
        <is>
          <t>Business unit</t>
        </is>
      </c>
      <c r="K4" s="8" t="inlineStr">
        <is>
          <t>Scope</t>
        </is>
      </c>
      <c r="L4" s="8" t="inlineStr">
        <is>
          <t>Appointed</t>
        </is>
      </c>
      <c r="M4" s="8" t="inlineStr">
        <is>
          <t>Appointment note</t>
        </is>
      </c>
      <c r="N4" s="8" t="inlineStr">
        <is>
          <t>Career / previous roles</t>
        </is>
      </c>
      <c r="O4" s="8" t="inlineStr">
        <is>
          <t>Education</t>
        </is>
      </c>
      <c r="P4" s="8" t="inlineStr">
        <is>
          <t>Qualifications</t>
        </is>
      </c>
      <c r="Q4" s="8" t="inlineStr">
        <is>
          <t>LinkedIn URL</t>
        </is>
      </c>
      <c r="R4" s="8" t="inlineStr">
        <is>
          <t>LinkedIn status</t>
        </is>
      </c>
      <c r="S4" s="8" t="inlineStr">
        <is>
          <t>Role status</t>
        </is>
      </c>
      <c r="T4" s="8" t="inlineStr">
        <is>
          <t>Role evidence</t>
        </is>
      </c>
      <c r="U4" s="8" t="inlineStr">
        <is>
          <t>Key ARTA contact role</t>
        </is>
      </c>
      <c r="V4" s="8" t="inlineStr">
        <is>
          <t>Source IDs</t>
        </is>
      </c>
      <c r="W4" s="8" t="inlineStr">
        <is>
          <t>Checked</t>
        </is>
      </c>
    </row>
    <row r="5">
      <c r="A5" s="9" t="inlineStr">
        <is>
          <t>ae-sarwa:P1</t>
        </is>
      </c>
      <c r="B5" s="9" t="inlineStr">
        <is>
          <t>ae-sarwa</t>
        </is>
      </c>
      <c r="C5" s="9" t="inlineStr">
        <is>
          <t>Sarwa</t>
        </is>
      </c>
      <c r="D5" s="9" t="inlineStr">
        <is>
          <t>UAE</t>
        </is>
      </c>
      <c r="E5" s="9" t="inlineStr">
        <is>
          <t>Mark Chahwan</t>
        </is>
      </c>
      <c r="F5" s="9" t="n"/>
      <c r="G5" s="5" t="inlineStr">
        <is>
          <t>Co-founder and Group Chief Executive Officer</t>
        </is>
      </c>
      <c r="H5" s="5" t="inlineStr">
        <is>
          <t>CEO</t>
        </is>
      </c>
      <c r="I5" s="9" t="inlineStr">
        <is>
          <t>Sarwa</t>
        </is>
      </c>
      <c r="J5" s="9" t="inlineStr">
        <is>
          <t>Group</t>
        </is>
      </c>
      <c r="K5" s="9" t="inlineStr">
        <is>
          <t>Group</t>
        </is>
      </c>
      <c r="L5" s="9" t="inlineStr">
        <is>
          <t>2017</t>
        </is>
      </c>
      <c r="M5" s="5" t="inlineStr">
        <is>
          <t>Co-founder and CEO since founding; titled 'Group CEO' in May 2026 releases.</t>
        </is>
      </c>
      <c r="N5" s="5" t="inlineStr">
        <is>
          <t>Before Sarwa: banking, wealth management and strategy roles (Entrepreneur ME, Jul 2026, S25). LinkedIn search snippet (profile not opened) lists strategy consultant at Accenture (Montreal), plus Caisse de dépôt et placement du Québec and BLOMINVEST Bank. Was a DFSA-registered director/senior executive officer of the withdrawn DIFC entity (DFSA register snippet, S24).</t>
        </is>
      </c>
      <c r="O5" s="5" t="n"/>
      <c r="P5" s="9" t="n"/>
      <c r="Q5" s="10" t="inlineStr">
        <is>
          <t>https://www.linkedin.com/in/markchahwan/</t>
        </is>
      </c>
      <c r="R5" s="9" t="inlineStr">
        <is>
          <t>Verified (profile/search match)</t>
        </is>
      </c>
      <c r="S5" s="13" t="inlineStr">
        <is>
          <t>Verified current</t>
        </is>
      </c>
      <c r="T5" s="5" t="inlineStr">
        <is>
          <t>Quoted as Group CEO and Co-founder in the DIFC/Dubai Media Office release of 4 May 2026 (S14) and FF News, 10 May 2026 (S15). LinkedIn search result headline 'Co-Founder &amp; Group CEO at Sarwa' (S27). No departure news found; checked 2026-10-12.</t>
        </is>
      </c>
      <c r="U5" s="9" t="inlineStr">
        <is>
          <t>Yes</t>
        </is>
      </c>
      <c r="V5" s="9" t="inlineStr">
        <is>
          <t>ae-sarwa:S14; ae-sarwa:S15; ae-sarwa:S25; ae-sarwa:S27; ae-sarwa:S24</t>
        </is>
      </c>
      <c r="W5" s="9" t="inlineStr">
        <is>
          <t>2026-10-12</t>
        </is>
      </c>
    </row>
    <row r="6">
      <c r="A6" s="9" t="inlineStr">
        <is>
          <t>ae-sarwa:P2</t>
        </is>
      </c>
      <c r="B6" s="9" t="inlineStr">
        <is>
          <t>ae-sarwa</t>
        </is>
      </c>
      <c r="C6" s="9" t="inlineStr">
        <is>
          <t>Sarwa</t>
        </is>
      </c>
      <c r="D6" s="9" t="inlineStr">
        <is>
          <t>UAE</t>
        </is>
      </c>
      <c r="E6" s="9" t="inlineStr">
        <is>
          <t>Jad Sayegh</t>
        </is>
      </c>
      <c r="F6" s="9" t="n"/>
      <c r="G6" s="5" t="inlineStr">
        <is>
          <t>Co-founder and Chief Technology Officer</t>
        </is>
      </c>
      <c r="H6" s="5" t="inlineStr">
        <is>
          <t>Technology</t>
        </is>
      </c>
      <c r="I6" s="9" t="inlineStr">
        <is>
          <t>Sarwa</t>
        </is>
      </c>
      <c r="J6" s="9" t="inlineStr">
        <is>
          <t>Technology</t>
        </is>
      </c>
      <c r="K6" s="9" t="inlineStr">
        <is>
          <t>Group</t>
        </is>
      </c>
      <c r="L6" s="9" t="inlineStr">
        <is>
          <t>2017</t>
        </is>
      </c>
      <c r="M6" s="5" t="inlineStr">
        <is>
          <t>Co-founder; CTO title in releases from 2024 to 2026.</t>
        </is>
      </c>
      <c r="N6" s="5" t="n"/>
      <c r="O6" s="5" t="n"/>
      <c r="P6" s="9" t="n"/>
      <c r="Q6" s="10" t="inlineStr">
        <is>
          <t>https://www.linkedin.com/in/jadsayegh/</t>
        </is>
      </c>
      <c r="R6" s="9" t="inlineStr">
        <is>
          <t>Verified (profile/search match)</t>
        </is>
      </c>
      <c r="S6" s="13" t="inlineStr">
        <is>
          <t>Verified current</t>
        </is>
      </c>
      <c r="T6" s="5" t="inlineStr">
        <is>
          <t>Quoted as Co-founder and CTO in the 4 May 2026 DIFC release (S14) and Entrepreneur ME (S16). Alpaca options release, Oct 2024 (S21). No departure news found; checked 2026-10-12.</t>
        </is>
      </c>
      <c r="U6" s="9" t="inlineStr">
        <is>
          <t>Yes</t>
        </is>
      </c>
      <c r="V6" s="9" t="inlineStr">
        <is>
          <t>ae-sarwa:S14; ae-sarwa:S16; ae-sarwa:S21; ae-sarwa:S28</t>
        </is>
      </c>
      <c r="W6" s="9" t="inlineStr">
        <is>
          <t>2026-10-12</t>
        </is>
      </c>
    </row>
    <row r="7">
      <c r="A7" s="9" t="inlineStr">
        <is>
          <t>ae-sarwa:P3</t>
        </is>
      </c>
      <c r="B7" s="9" t="inlineStr">
        <is>
          <t>ae-sarwa</t>
        </is>
      </c>
      <c r="C7" s="9" t="inlineStr">
        <is>
          <t>Sarwa</t>
        </is>
      </c>
      <c r="D7" s="9" t="inlineStr">
        <is>
          <t>UAE</t>
        </is>
      </c>
      <c r="E7" s="9" t="inlineStr">
        <is>
          <t>Nadine Mezher</t>
        </is>
      </c>
      <c r="F7" s="9" t="n"/>
      <c r="G7" s="5" t="inlineStr">
        <is>
          <t>Co-founder; Executive Board Director (per LinkedIn); formerly Chief Marketing Officer</t>
        </is>
      </c>
      <c r="H7" s="5" t="inlineStr">
        <is>
          <t>Board</t>
        </is>
      </c>
      <c r="I7" s="9" t="inlineStr">
        <is>
          <t>Sarwa</t>
        </is>
      </c>
      <c r="J7" s="9" t="inlineStr">
        <is>
          <t>Group</t>
        </is>
      </c>
      <c r="K7" s="9" t="inlineStr">
        <is>
          <t>Group</t>
        </is>
      </c>
      <c r="L7" s="9" t="inlineStr">
        <is>
          <t>2017</t>
        </is>
      </c>
      <c r="M7" s="5" t="inlineStr">
        <is>
          <t>Co-founder. LinkedIn search snippet shows she has also been co-founder and CEO of NAWA since Jul 2025.</t>
        </is>
      </c>
      <c r="N7" s="5" t="inlineStr">
        <is>
          <t>Co-founder and CMO of Sarwa (2017 to an undated change; CMO in 2021 lists).</t>
        </is>
      </c>
      <c r="O7" s="5" t="n"/>
      <c r="P7" s="9" t="n"/>
      <c r="Q7" s="10" t="inlineStr">
        <is>
          <t>https://www.linkedin.com/in/nadine-mezher/</t>
        </is>
      </c>
      <c r="R7" s="9" t="inlineStr">
        <is>
          <t>Verified (profile/search match)</t>
        </is>
      </c>
      <c r="S7" s="16" t="inlineStr">
        <is>
          <t>Conflicting sources</t>
        </is>
      </c>
      <c r="T7" s="5" t="inlineStr">
        <is>
          <t>FF News (10 May 2026, S15) calls her 'previous CMO'. LinkedIn search snippet (S29) shows 'Co-Founder &amp; Executive Board Director at Sarwa' and co-founder/CEO of NAWA from Jul 2025. Entrepreneur ME (29 Jul 2026, S25) still lists her as CMO, which looks stale. No official Sarwa leadership page exists.</t>
        </is>
      </c>
      <c r="U7" s="9" t="inlineStr">
        <is>
          <t>No</t>
        </is>
      </c>
      <c r="V7" s="9" t="inlineStr">
        <is>
          <t>ae-sarwa:S15; ae-sarwa:S25; ae-sarwa:S29</t>
        </is>
      </c>
      <c r="W7" s="9" t="inlineStr">
        <is>
          <t>2026-10-12</t>
        </is>
      </c>
    </row>
    <row r="8">
      <c r="A8" s="9" t="inlineStr">
        <is>
          <t>ae-sarwa:P4</t>
        </is>
      </c>
      <c r="B8" s="9" t="inlineStr">
        <is>
          <t>ae-sarwa</t>
        </is>
      </c>
      <c r="C8" s="9" t="inlineStr">
        <is>
          <t>Sarwa</t>
        </is>
      </c>
      <c r="D8" s="9" t="inlineStr">
        <is>
          <t>UAE</t>
        </is>
      </c>
      <c r="E8" s="9" t="inlineStr">
        <is>
          <t>Robin Harb</t>
        </is>
      </c>
      <c r="F8" s="9" t="n"/>
      <c r="G8" s="5" t="inlineStr">
        <is>
          <t>Chief Product Officer</t>
        </is>
      </c>
      <c r="H8" s="5" t="inlineStr">
        <is>
          <t>Digital</t>
        </is>
      </c>
      <c r="I8" s="9" t="inlineStr">
        <is>
          <t>Sarwa</t>
        </is>
      </c>
      <c r="J8" s="9" t="inlineStr">
        <is>
          <t>Product</t>
        </is>
      </c>
      <c r="K8" s="9" t="inlineStr">
        <is>
          <t>Group</t>
        </is>
      </c>
      <c r="L8" s="9" t="n"/>
      <c r="M8" s="5" t="inlineStr">
        <is>
          <t>Start date not found.</t>
        </is>
      </c>
      <c r="N8" s="5" t="inlineStr">
        <is>
          <t>Consultant, McKinsey &amp; Company (2+ years), per one-fs newsletter co-written with Sarwa's CEO (S26).</t>
        </is>
      </c>
      <c r="O8" s="5" t="n"/>
      <c r="P8" s="9" t="n"/>
      <c r="Q8" s="10" t="inlineStr">
        <is>
          <t>https://www.linkedin.com/in/robin-harb-46256a8b/</t>
        </is>
      </c>
      <c r="R8" s="9" t="inlineStr">
        <is>
          <t>Verified (profile/search match)</t>
        </is>
      </c>
      <c r="S8" s="15" t="inlineStr">
        <is>
          <t>Requires verification</t>
        </is>
      </c>
      <c r="T8" s="5" t="inlineStr">
        <is>
          <t>Called 'Chief Product Officer at Sarwa' in one-fs newsletter, 29 Jun 2025 (S26), and in the LinkedIn search headline (S30). Not named on any official Sarwa page and no 2026 source found.</t>
        </is>
      </c>
      <c r="U8" s="9" t="inlineStr">
        <is>
          <t>Yes</t>
        </is>
      </c>
      <c r="V8" s="9" t="inlineStr">
        <is>
          <t>ae-sarwa:S26; ae-sarwa:S30</t>
        </is>
      </c>
      <c r="W8" s="9" t="inlineStr">
        <is>
          <t>2026-10-12</t>
        </is>
      </c>
    </row>
    <row r="9">
      <c r="A9" s="9" t="inlineStr">
        <is>
          <t>ae-sarwa:P5</t>
        </is>
      </c>
      <c r="B9" s="9" t="inlineStr">
        <is>
          <t>ae-sarwa</t>
        </is>
      </c>
      <c r="C9" s="9" t="inlineStr">
        <is>
          <t>Sarwa</t>
        </is>
      </c>
      <c r="D9" s="9" t="inlineStr">
        <is>
          <t>UAE</t>
        </is>
      </c>
      <c r="E9" s="9" t="inlineStr">
        <is>
          <t>Osama Al Ghoussein</t>
        </is>
      </c>
      <c r="F9" s="9" t="n"/>
      <c r="G9" s="5" t="inlineStr">
        <is>
          <t>Board member (KIPCO representative; Senior Vice President, Banking at KIPCO in Jan 2020)</t>
        </is>
      </c>
      <c r="H9" s="5" t="inlineStr">
        <is>
          <t>Board</t>
        </is>
      </c>
      <c r="I9" s="9" t="inlineStr">
        <is>
          <t>Sarwa</t>
        </is>
      </c>
      <c r="J9" s="9" t="inlineStr">
        <is>
          <t>Board</t>
        </is>
      </c>
      <c r="K9" s="9" t="inlineStr">
        <is>
          <t>Group</t>
        </is>
      </c>
      <c r="L9" s="9" t="n"/>
      <c r="M9" s="5" t="inlineStr">
        <is>
          <t>Described as a Sarwa board member at the Jan 2020 Series A.</t>
        </is>
      </c>
      <c r="N9" s="5" t="n"/>
      <c r="O9" s="5" t="n"/>
      <c r="P9" s="9" t="n"/>
      <c r="Q9" s="9" t="n"/>
      <c r="R9" s="9" t="inlineStr">
        <is>
          <t>Not checked</t>
        </is>
      </c>
      <c r="S9" s="15" t="inlineStr">
        <is>
          <t>Requires verification</t>
        </is>
      </c>
      <c r="T9" s="5" t="inlineStr">
        <is>
          <t>Only source is The National, 26 Jan 2020 (S19). Sarwa publishes no board list. The 2021 Series B added Mubadala and 500 Startups representatives (unnamed, S18).</t>
        </is>
      </c>
      <c r="U9" s="9" t="inlineStr">
        <is>
          <t>No</t>
        </is>
      </c>
      <c r="V9" s="9" t="inlineStr">
        <is>
          <t>ae-sarwa:S19</t>
        </is>
      </c>
      <c r="W9" s="9" t="inlineStr">
        <is>
          <t>2026-10-12</t>
        </is>
      </c>
    </row>
  </sheetData>
  <hyperlinks>
    <hyperlink xmlns:r="http://schemas.openxmlformats.org/officeDocument/2006/relationships" ref="Q5" r:id="rId1"/>
    <hyperlink xmlns:r="http://schemas.openxmlformats.org/officeDocument/2006/relationships" ref="Q6" r:id="rId2"/>
    <hyperlink xmlns:r="http://schemas.openxmlformats.org/officeDocument/2006/relationships" ref="Q7" r:id="rId3"/>
    <hyperlink xmlns:r="http://schemas.openxmlformats.org/officeDocument/2006/relationships" ref="Q8" r:id="rId4"/>
  </hyperlinks>
  <pageMargins left="0.75" right="0.75" top="1" bottom="1" header="0.5" footer="0.5"/>
  <tableParts count="1">
    <tablePart xmlns:r="http://schemas.openxmlformats.org/officeDocument/2006/relationships" r:id="rId5"/>
  </tableParts>
</worksheet>
</file>

<file path=xl/worksheets/sheet5.xml><?xml version="1.0" encoding="utf-8"?>
<worksheet xmlns="http://schemas.openxmlformats.org/spreadsheetml/2006/main">
  <sheetPr>
    <outlinePr summaryBelow="1" summaryRight="1"/>
    <pageSetUpPr/>
  </sheetPr>
  <dimension ref="A1:AB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0" customWidth="1" min="3" max="3"/>
    <col width="18" customWidth="1" min="4" max="4"/>
    <col width="60"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36" customWidth="1" min="17" max="17"/>
    <col width="44" customWidth="1" min="18" max="18"/>
    <col width="44" customWidth="1" min="19" max="19"/>
    <col width="44" customWidth="1" min="20" max="20"/>
    <col width="44" customWidth="1" min="21" max="21"/>
    <col width="44" customWidth="1" min="22" max="22"/>
    <col width="44" customWidth="1" min="23" max="23"/>
    <col width="44" customWidth="1" min="24" max="24"/>
    <col width="44" customWidth="1" min="25" max="25"/>
    <col width="44" customWidth="1" min="26" max="26"/>
    <col width="44" customWidth="1" min="27" max="27"/>
    <col width="44" customWidth="1" min="28" max="28"/>
  </cols>
  <sheetData>
    <row r="1">
      <c r="A1" s="6" t="inlineStr">
        <is>
          <t>Wealth, investment and digital capabilities</t>
        </is>
      </c>
    </row>
    <row r="2">
      <c r="A2" s="7" t="inlineStr">
        <is>
          <t>Yes = evidenced; No = evidenced absence; Not found after research = no evidence located (not proof of absence); Unclear = mixed evidence.</t>
        </is>
      </c>
    </row>
    <row r="4" ht="30" customHeight="1">
      <c r="A4" s="8" t="inlineStr">
        <is>
          <t>Institution ID</t>
        </is>
      </c>
      <c r="B4" s="8" t="inlineStr">
        <is>
          <t>Institution</t>
        </is>
      </c>
      <c r="C4" s="8" t="inlineStr">
        <is>
          <t>Market</t>
        </is>
      </c>
      <c r="D4" s="8" t="inlineStr">
        <is>
          <t>Category</t>
        </is>
      </c>
      <c r="E4" s="8" t="inlineStr">
        <is>
          <t>Wealth summary</t>
        </is>
      </c>
      <c r="F4" s="8" t="inlineStr">
        <is>
          <t>Private banking</t>
        </is>
      </c>
      <c r="G4" s="8" t="inlineStr">
        <is>
          <t>Asset management</t>
        </is>
      </c>
      <c r="H4" s="8" t="inlineStr">
        <is>
          <t>Brokerage</t>
        </is>
      </c>
      <c r="I4" s="8" t="inlineStr">
        <is>
          <t>Digital investing</t>
        </is>
      </c>
      <c r="J4" s="8" t="inlineStr">
        <is>
          <t>Advisory</t>
        </is>
      </c>
      <c r="K4" s="8" t="inlineStr">
        <is>
          <t>Discretionary mandates</t>
        </is>
      </c>
      <c r="L4" s="8" t="inlineStr">
        <is>
          <t>Model portfolios / robo</t>
        </is>
      </c>
      <c r="M4" s="8" t="inlineStr">
        <is>
          <t>Funds platform</t>
        </is>
      </c>
      <c r="N4" s="8" t="inlineStr">
        <is>
          <t>Structured products</t>
        </is>
      </c>
      <c r="O4" s="8" t="inlineStr">
        <is>
          <t>Private markets</t>
        </is>
      </c>
      <c r="P4" s="8" t="inlineStr">
        <is>
          <t>Islamic wealth</t>
        </is>
      </c>
      <c r="Q4" s="8" t="inlineStr">
        <is>
          <t>Asset classes</t>
        </is>
      </c>
      <c r="R4" s="8" t="inlineStr">
        <is>
          <t>Private banking — detail</t>
        </is>
      </c>
      <c r="S4" s="8" t="inlineStr">
        <is>
          <t>Asset management — detail</t>
        </is>
      </c>
      <c r="T4" s="8" t="inlineStr">
        <is>
          <t>Brokerage — detail</t>
        </is>
      </c>
      <c r="U4" s="8" t="inlineStr">
        <is>
          <t>Digital investing — detail</t>
        </is>
      </c>
      <c r="V4" s="8" t="inlineStr">
        <is>
          <t>Advisory — detail</t>
        </is>
      </c>
      <c r="W4" s="8" t="inlineStr">
        <is>
          <t>Discretionary mandates — detail</t>
        </is>
      </c>
      <c r="X4" s="8" t="inlineStr">
        <is>
          <t>Model portfolios / robo — detail</t>
        </is>
      </c>
      <c r="Y4" s="8" t="inlineStr">
        <is>
          <t>Funds platform — detail</t>
        </is>
      </c>
      <c r="Z4" s="8" t="inlineStr">
        <is>
          <t>Structured products — detail</t>
        </is>
      </c>
      <c r="AA4" s="8" t="inlineStr">
        <is>
          <t>Private markets — detail</t>
        </is>
      </c>
      <c r="AB4" s="8" t="inlineStr">
        <is>
          <t>Islamic wealth — detail</t>
        </is>
      </c>
    </row>
    <row r="5">
      <c r="A5" s="9" t="inlineStr">
        <is>
          <t>ae-sarwa</t>
        </is>
      </c>
      <c r="B5" s="9" t="inlineStr">
        <is>
          <t>Sarwa</t>
        </is>
      </c>
      <c r="C5" s="9" t="inlineStr">
        <is>
          <t>UAE</t>
        </is>
      </c>
      <c r="D5" s="9" t="inlineStr">
        <is>
          <t>Non-bank</t>
        </is>
      </c>
      <c r="E5" s="5" t="inlineStr">
        <is>
          <t>Sarwa is an ADGM-regulated (FSRA Category 3C) direct-to-consumer investing app. It says it passed USD 1bn of client assets in May 2026 and 300,000 registered users by Dec 2025 (unaudited company claims). Sarwa Invest offers automated ETF portfolios (Conventional, SRI, Crypto with 5% Bitcoin, Halal) built from Vanguard/BlackRock ETFs, with fees falling from 0.85% to 0.4% by balance tier. Sarwa Trade gives US stocks/ETFs, fractional shares and US options (Level 2, since Oct 2024) through Alpaca's Broker API. Sarwa Save invests cash in money market funds, including a Halal option in the Emirates Islamic Money Market Fund. Sarwa Private Wealth (early 2025, &gt;USD 500k) adds dedicated advisors, financial planning and 'public &amp; private asset classes'. A Black Swan Protection Program with Universa Investments (2025) is available from the Platinum tier. All products are US-market or global ETF based: no UAE/GCC equities, bonds or structured products were found.</t>
        </is>
      </c>
      <c r="F5" s="13" t="inlineStr">
        <is>
          <t>Yes</t>
        </is>
      </c>
      <c r="G5" s="13" t="inlineStr">
        <is>
          <t>Yes</t>
        </is>
      </c>
      <c r="H5" s="13" t="inlineStr">
        <is>
          <t>Yes</t>
        </is>
      </c>
      <c r="I5" s="13" t="inlineStr">
        <is>
          <t>Yes</t>
        </is>
      </c>
      <c r="J5" s="13" t="inlineStr">
        <is>
          <t>Yes</t>
        </is>
      </c>
      <c r="K5" s="13" t="inlineStr">
        <is>
          <t>Yes</t>
        </is>
      </c>
      <c r="L5" s="13" t="inlineStr">
        <is>
          <t>Yes</t>
        </is>
      </c>
      <c r="M5" s="17" t="inlineStr">
        <is>
          <t>Not found after research</t>
        </is>
      </c>
      <c r="N5" s="17" t="inlineStr">
        <is>
          <t>Not found after research</t>
        </is>
      </c>
      <c r="O5" s="15" t="inlineStr">
        <is>
          <t>Unclear</t>
        </is>
      </c>
      <c r="P5" s="13" t="inlineStr">
        <is>
          <t>Yes</t>
        </is>
      </c>
      <c r="Q5" s="5" t="inlineStr">
        <is>
          <t>US/international equities; ETFs; Options (US-listed); Sukuk; Gold / precious metals; Crypto / digital assets; Money market funds</t>
        </is>
      </c>
      <c r="R5" s="5" t="inlineStr">
        <is>
          <t>Not a bank ('Sarwa is not a bank'). Sarwa Private Wealth, launched early 2025 for clients with &gt;USD 500k, gives a dedicated wealth advisor (one advisor named on the product page), financial planning, tax optimisation, a professional network (wills, real estate, home financing, legal, tax) and portfolios built by the in-house investment team. [ae-sarwa:S7; ae-sarwa:S17; ae-sarwa:S1]</t>
        </is>
      </c>
      <c r="S5" s="5" t="inlineStr">
        <is>
          <t>FSRA permission 'Managing Assets' (effective 20 Feb 2020). In-house investment team runs automated model portfolios (Sarwa Invest) and Private Wealth mandates. No own-branded funds found. The company labels end-2025 assets as USD 880m 'AUM' and May 2026 client assets as USD 1bn (broad measures, see metrics). [ae-sarwa:S3; ae-sarwa:S6; ae-sarwa:S7; ae-sarwa:S4]</t>
        </is>
      </c>
      <c r="T5" s="5" t="inlineStr">
        <is>
          <t>Sarwa Trade (launched 2022): 10,000+ US stocks and ETFs on the product page (llms.txt says 5,000+), fractional shares, market/limit orders, USD 1 or 0.25% commission, USD 500 minimum, free AED local transfers. US options (Level 1–2, USD 4 per contract) since Oct 2024. Execution and clearing by Alpaca Securities through the Broker API (fully disclosed); safety page says Trade assets are held with BMO Harris. FSRA permission 'Arranging Deals in Investments'. US markets only. [ae-sarwa:S9; ae-sarwa:S10; ae-sarwa:S11; ae-sarwa:S21; ae-sarwa:S5; ae-sarwa:S3; ae-sarwa:S12]</t>
        </is>
      </c>
      <c r="U5" s="5" t="inlineStr">
        <is>
          <t>Sarwa mobile app and web app (English/Arabic): Invest, Trade, Crypto, Save and Private Wealth in one account, funded from UAE AED accounts at zero cost. Onboarding is fully digital. [ae-sarwa:S1; ae-sarwa:S12; ae-sarwa:S9]</t>
        </is>
      </c>
      <c r="V5" s="5" t="inlineStr">
        <is>
          <t>FSRA permission 'Advising on Investments or Credit' (effective 16 Aug 2020). Human advice through dedicated Private Wealth/Legacy advisors; automated advice through Sarwa Invest. [ae-sarwa:S3; ae-sarwa:S7]</t>
        </is>
      </c>
      <c r="W5" s="5" t="inlineStr">
        <is>
          <t>Sarwa Invest is automated discretionary portfolio management (risk-based ETF portfolios, smart rebalancing, dividend reinvestment). Private Wealth portfolios are managed by the in-house team. Saudi CMA ExPermit (Jan 2021) covered automated discretionary management. [ae-sarwa:S6; ae-sarwa:S7; ae-sarwa:S20]</t>
        </is>
      </c>
      <c r="X5" s="5" t="inlineStr">
        <is>
          <t>Robo-advisor since 2018. Four portfolio families: Conventional (Vanguard and BlackRock ETFs), Socially Responsible (screened ETFs), Crypto (conventional or SRI plus 5% Bitcoin) and Halal (sukuk, gold ETCs, Shariah-compliant ETFs). Risk slider runs 0–7. [ae-sarwa:S6]</t>
        </is>
      </c>
      <c r="Y5" s="5" t="inlineStr">
        <is>
          <t>No third-party mutual fund shelf. Sarwa Save puts cash into money market funds (Save+: unnamed MMF, est. 3.8%; Halal: Emirates Islamic Money Market Fund, est. 4.2%, before a 0.5% fee). [ae-sarwa:S8; ae-sarwa:S11]</t>
        </is>
      </c>
      <c r="Z5" s="5" t="inlineStr">
        <is>
          <t>None found on product, pricing or Private Wealth pages. The Black Swan Protection Program is an options-based tail hedge run with Universa (2% of protected amount for about 12 months; USD 50k minimum, per help-centre search snippet), not a structured note. [ae-sarwa:S7; ae-sarwa:S9; ae-sarwa:S11]</t>
        </is>
      </c>
      <c r="AA5" s="5" t="inlineStr">
        <is>
          <t>The Private Wealth page and llms.txt say clients can invest across 'public &amp; private asset classes' / 'public and private market access', but no private-markets product, manager or vehicle is named. [ae-sarwa:S7; ae-sarwa:S12]</t>
        </is>
      </c>
      <c r="AB5" s="5" t="inlineStr">
        <is>
          <t>Halal robo portfolios (sukuk, gold ETCs, Shariah-compliant ETFs) and a Halal Save option (Emirates Islamic Money Market Fund). Sarwa states it does NOT hold an FSRA Islamic Window endorsement. [ae-sarwa:S6; ae-sarwa:S8; ae-sarwa:S1]</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26" customWidth="1" min="3" max="3"/>
    <col width="11" customWidth="1" min="4" max="4"/>
    <col width="24" customWidth="1" min="5" max="5"/>
    <col width="22" customWidth="1" min="6" max="6"/>
    <col width="70" customWidth="1" min="7" max="7"/>
    <col width="12" customWidth="1" min="8" max="8"/>
    <col width="26" customWidth="1" min="9" max="9"/>
  </cols>
  <sheetData>
    <row r="1">
      <c r="A1" s="6" t="inlineStr">
        <is>
          <t>Named partners and dated initiatives</t>
        </is>
      </c>
    </row>
    <row r="2">
      <c r="A2" s="7" t="inlineStr">
        <is>
          <t>Technology, product and distribution partners; launches, acquisitions and strategy statements. MoUs are not treated as deployments.</t>
        </is>
      </c>
    </row>
    <row r="4" ht="30" customHeight="1">
      <c r="A4" s="8" t="inlineStr">
        <is>
          <t>Kind</t>
        </is>
      </c>
      <c r="B4" s="8" t="inlineStr">
        <is>
          <t>Institution ID</t>
        </is>
      </c>
      <c r="C4" s="8" t="inlineStr">
        <is>
          <t>Institution</t>
        </is>
      </c>
      <c r="D4" s="8" t="inlineStr">
        <is>
          <t>Date</t>
        </is>
      </c>
      <c r="E4" s="8" t="inlineStr">
        <is>
          <t>Partner</t>
        </is>
      </c>
      <c r="F4" s="8" t="inlineStr">
        <is>
          <t>Partner type</t>
        </is>
      </c>
      <c r="G4" s="8" t="inlineStr">
        <is>
          <t>What</t>
        </is>
      </c>
      <c r="H4" s="8" t="inlineStr">
        <is>
          <t>Status</t>
        </is>
      </c>
      <c r="I4" s="8" t="inlineStr">
        <is>
          <t>Source IDs</t>
        </is>
      </c>
    </row>
    <row r="5">
      <c r="A5" s="9" t="inlineStr">
        <is>
          <t>Partner</t>
        </is>
      </c>
      <c r="B5" s="9" t="inlineStr">
        <is>
          <t>ae-sarwa</t>
        </is>
      </c>
      <c r="C5" s="9" t="inlineStr">
        <is>
          <t>Sarwa</t>
        </is>
      </c>
      <c r="D5" s="9" t="n"/>
      <c r="E5" s="9" t="inlineStr">
        <is>
          <t>BMO Harris (BMO Financial Group)</t>
        </is>
      </c>
      <c r="F5" s="9" t="inlineStr">
        <is>
          <t>Custody</t>
        </is>
      </c>
      <c r="G5" s="5" t="inlineStr">
        <is>
          <t>Safety page says Sarwa Trade assets are held with BMO Harris; the page dates from 2020 and may be out of date</t>
        </is>
      </c>
      <c r="H5" s="15" t="inlineStr">
        <is>
          <t>Unclear</t>
        </is>
      </c>
      <c r="I5" s="9" t="inlineStr">
        <is>
          <t>ae-sarwa:S5</t>
        </is>
      </c>
    </row>
    <row r="6">
      <c r="A6" s="9" t="inlineStr">
        <is>
          <t>Partner</t>
        </is>
      </c>
      <c r="B6" s="9" t="inlineStr">
        <is>
          <t>ae-sarwa</t>
        </is>
      </c>
      <c r="C6" s="9" t="inlineStr">
        <is>
          <t>Sarwa</t>
        </is>
      </c>
      <c r="D6" s="9" t="n"/>
      <c r="E6" s="9" t="inlineStr">
        <is>
          <t>Alpaca Crypto / Fireblocks</t>
        </is>
      </c>
      <c r="F6" s="9" t="inlineStr">
        <is>
          <t>Crypto execution and custody</t>
        </is>
      </c>
      <c r="G6" s="5" t="inlineStr">
        <is>
          <t>Sarwa Crypto runs through Alpaca Crypto, which holds custody with Fireblocks</t>
        </is>
      </c>
      <c r="H6" s="15" t="inlineStr">
        <is>
          <t>Unclear</t>
        </is>
      </c>
      <c r="I6" s="9" t="inlineStr">
        <is>
          <t>ae-sarwa:S5</t>
        </is>
      </c>
    </row>
    <row r="7">
      <c r="A7" s="9" t="inlineStr">
        <is>
          <t>Partner</t>
        </is>
      </c>
      <c r="B7" s="9" t="inlineStr">
        <is>
          <t>ae-sarwa</t>
        </is>
      </c>
      <c r="C7" s="9" t="inlineStr">
        <is>
          <t>Sarwa</t>
        </is>
      </c>
      <c r="D7" s="9" t="n"/>
      <c r="E7" s="9" t="inlineStr">
        <is>
          <t>Emirates Islamic (Emirates Islamic Money Market Fund)</t>
        </is>
      </c>
      <c r="F7" s="9" t="inlineStr">
        <is>
          <t>Underlying fund</t>
        </is>
      </c>
      <c r="G7" s="5" t="inlineStr">
        <is>
          <t>Underlying asset of Halal Sarwa Save</t>
        </is>
      </c>
      <c r="H7" s="9" t="inlineStr">
        <is>
          <t>Live</t>
        </is>
      </c>
      <c r="I7" s="9" t="inlineStr">
        <is>
          <t>ae-sarwa:S8</t>
        </is>
      </c>
    </row>
    <row r="8">
      <c r="A8" s="9" t="inlineStr">
        <is>
          <t>Partner</t>
        </is>
      </c>
      <c r="B8" s="9" t="inlineStr">
        <is>
          <t>ae-sarwa</t>
        </is>
      </c>
      <c r="C8" s="9" t="inlineStr">
        <is>
          <t>Sarwa</t>
        </is>
      </c>
      <c r="D8" s="9" t="inlineStr">
        <is>
          <t>2020-11</t>
        </is>
      </c>
      <c r="E8" s="9" t="inlineStr">
        <is>
          <t>Saxo Bank</t>
        </is>
      </c>
      <c r="F8" s="9" t="inlineStr">
        <is>
          <t>Custody / platform technology</t>
        </is>
      </c>
      <c r="G8" s="5" t="inlineStr">
        <is>
          <t>Named as custodian bank for Sarwa Invest and Save (safety page) and 'our selected partner' (2026 blog). The 2020 partnership to power 'Sarwa X' was seen in search results only.</t>
        </is>
      </c>
      <c r="H8" s="9" t="inlineStr">
        <is>
          <t>Live</t>
        </is>
      </c>
      <c r="I8" s="9" t="inlineStr">
        <is>
          <t>ae-sarwa:S5; ae-sarwa:S4</t>
        </is>
      </c>
    </row>
    <row r="9">
      <c r="A9" s="9" t="inlineStr">
        <is>
          <t>Initiative</t>
        </is>
      </c>
      <c r="B9" s="9" t="inlineStr">
        <is>
          <t>ae-sarwa</t>
        </is>
      </c>
      <c r="C9" s="9" t="inlineStr">
        <is>
          <t>Sarwa</t>
        </is>
      </c>
      <c r="D9" s="9" t="inlineStr">
        <is>
          <t>2021-01-05</t>
        </is>
      </c>
      <c r="E9" s="9" t="n"/>
      <c r="F9" s="9" t="n"/>
      <c r="G9" s="5" t="inlineStr">
        <is>
          <t>Saudi CMA granted Sarwa a FinTech Experimental Permit to test robo-advisory and automated discretionary management in KSA (current status unknown)</t>
        </is>
      </c>
      <c r="H9" s="9" t="n"/>
      <c r="I9" s="9" t="inlineStr">
        <is>
          <t>ae-sarwa:S20</t>
        </is>
      </c>
    </row>
    <row r="10">
      <c r="A10" s="9" t="inlineStr">
        <is>
          <t>Initiative</t>
        </is>
      </c>
      <c r="B10" s="9" t="inlineStr">
        <is>
          <t>ae-sarwa</t>
        </is>
      </c>
      <c r="C10" s="9" t="inlineStr">
        <is>
          <t>Sarwa</t>
        </is>
      </c>
      <c r="D10" s="9" t="inlineStr">
        <is>
          <t>2021-08-09</t>
        </is>
      </c>
      <c r="E10" s="9" t="n"/>
      <c r="F10" s="9" t="n"/>
      <c r="G10" s="5" t="inlineStr">
        <is>
          <t>USD 15m Series B led by Mubadala; plans included Sarwa Trade and Sarwa Crypto</t>
        </is>
      </c>
      <c r="H10" s="9" t="n"/>
      <c r="I10" s="9" t="inlineStr">
        <is>
          <t>ae-sarwa:S18</t>
        </is>
      </c>
    </row>
    <row r="11">
      <c r="A11" s="9" t="inlineStr">
        <is>
          <t>Initiative</t>
        </is>
      </c>
      <c r="B11" s="9" t="inlineStr">
        <is>
          <t>ae-sarwa</t>
        </is>
      </c>
      <c r="C11" s="9" t="inlineStr">
        <is>
          <t>Sarwa</t>
        </is>
      </c>
      <c r="D11" s="9" t="inlineStr">
        <is>
          <t>2024-05-21</t>
        </is>
      </c>
      <c r="E11" s="9" t="n"/>
      <c r="F11" s="9" t="n"/>
      <c r="G11" s="5" t="inlineStr">
        <is>
          <t>DFSA (USD 191,100) and FSRA (USD 122,500 plus a required governance review) penalties over a 2023 offer of securities linked to parent-entity shares to clients without an approved prospectus (about 144 investors, about USD 2.1m, all reversed)</t>
        </is>
      </c>
      <c r="H11" s="9" t="n"/>
      <c r="I11" s="9" t="inlineStr">
        <is>
          <t>ae-sarwa:S3; ae-sarwa:S22; ae-sarwa:S23</t>
        </is>
      </c>
    </row>
    <row r="12">
      <c r="A12" s="9" t="inlineStr">
        <is>
          <t>Initiative</t>
        </is>
      </c>
      <c r="B12" s="9" t="inlineStr">
        <is>
          <t>ae-sarwa</t>
        </is>
      </c>
      <c r="C12" s="9" t="inlineStr">
        <is>
          <t>Sarwa</t>
        </is>
      </c>
      <c r="D12" s="9" t="inlineStr">
        <is>
          <t>2024-06-14</t>
        </is>
      </c>
      <c r="E12" s="9" t="n"/>
      <c r="F12" s="9" t="n"/>
      <c r="G12" s="5" t="inlineStr">
        <is>
          <t>DIFC entity Sarwa Digital Wealth Limited shown as withdrawn on the DFSA register (search snippet)</t>
        </is>
      </c>
      <c r="H12" s="9" t="n"/>
      <c r="I12" s="9" t="inlineStr">
        <is>
          <t>ae-sarwa:S24</t>
        </is>
      </c>
    </row>
    <row r="13">
      <c r="A13" s="9" t="inlineStr">
        <is>
          <t>Partner</t>
        </is>
      </c>
      <c r="B13" s="9" t="inlineStr">
        <is>
          <t>ae-sarwa</t>
        </is>
      </c>
      <c r="C13" s="9" t="inlineStr">
        <is>
          <t>Sarwa</t>
        </is>
      </c>
      <c r="D13" s="9" t="inlineStr">
        <is>
          <t>2024-10-09</t>
        </is>
      </c>
      <c r="E13" s="9" t="inlineStr">
        <is>
          <t>Alpaca (Alpaca Securities / Broker API)</t>
        </is>
      </c>
      <c r="F13" s="9" t="inlineStr">
        <is>
          <t>Execution / clearing / brokerage API</t>
        </is>
      </c>
      <c r="G13" s="5" t="inlineStr">
        <is>
          <t>US equities and crypto since 2021; Level 1–2 options launched Oct 2024 (fully disclosed relationship)</t>
        </is>
      </c>
      <c r="H13" s="9" t="inlineStr">
        <is>
          <t>Live</t>
        </is>
      </c>
      <c r="I13" s="9" t="inlineStr">
        <is>
          <t>ae-sarwa:S21; ae-sarwa:S5</t>
        </is>
      </c>
    </row>
    <row r="14">
      <c r="A14" s="9" t="inlineStr">
        <is>
          <t>Initiative</t>
        </is>
      </c>
      <c r="B14" s="9" t="inlineStr">
        <is>
          <t>ae-sarwa</t>
        </is>
      </c>
      <c r="C14" s="9" t="inlineStr">
        <is>
          <t>Sarwa</t>
        </is>
      </c>
      <c r="D14" s="9" t="inlineStr">
        <is>
          <t>2024-10-09</t>
        </is>
      </c>
      <c r="E14" s="9" t="n"/>
      <c r="F14" s="9" t="n"/>
      <c r="G14" s="5" t="inlineStr">
        <is>
          <t>Launched US options trading (Level 1–2) via Alpaca; claims first fintech in the Middle East to do so</t>
        </is>
      </c>
      <c r="H14" s="9" t="n"/>
      <c r="I14" s="9" t="inlineStr">
        <is>
          <t>ae-sarwa:S21; ae-sarwa:S10</t>
        </is>
      </c>
    </row>
    <row r="15">
      <c r="A15" s="9" t="inlineStr">
        <is>
          <t>Partner</t>
        </is>
      </c>
      <c r="B15" s="9" t="inlineStr">
        <is>
          <t>ae-sarwa</t>
        </is>
      </c>
      <c r="C15" s="9" t="inlineStr">
        <is>
          <t>Sarwa</t>
        </is>
      </c>
      <c r="D15" s="9" t="inlineStr">
        <is>
          <t>2025</t>
        </is>
      </c>
      <c r="E15" s="9" t="inlineStr">
        <is>
          <t>Universa Investments</t>
        </is>
      </c>
      <c r="F15" s="9" t="inlineStr">
        <is>
          <t>Product partner (tail-risk hedging)</t>
        </is>
      </c>
      <c r="G15" s="5" t="inlineStr">
        <is>
          <t>Designs and runs the Black Swan Protection Program (Nassim Taleb named as adviser)</t>
        </is>
      </c>
      <c r="H15" s="9" t="inlineStr">
        <is>
          <t>Live</t>
        </is>
      </c>
      <c r="I15" s="9" t="inlineStr">
        <is>
          <t>ae-sarwa:S4; ae-sarwa:S7</t>
        </is>
      </c>
    </row>
    <row r="16">
      <c r="A16" s="9" t="inlineStr">
        <is>
          <t>Initiative</t>
        </is>
      </c>
      <c r="B16" s="9" t="inlineStr">
        <is>
          <t>ae-sarwa</t>
        </is>
      </c>
      <c r="C16" s="9" t="inlineStr">
        <is>
          <t>Sarwa</t>
        </is>
      </c>
      <c r="D16" s="9" t="inlineStr">
        <is>
          <t>2025</t>
        </is>
      </c>
      <c r="E16" s="9" t="n"/>
      <c r="F16" s="9" t="n"/>
      <c r="G16" s="5" t="inlineStr">
        <is>
          <t>Launched Sarwa Private Wealth (early 2025, &gt;USD 500k) and the Black Swan Protection Program with Universa Investments</t>
        </is>
      </c>
      <c r="H16" s="9" t="n"/>
      <c r="I16" s="9" t="inlineStr">
        <is>
          <t>ae-sarwa:S17; ae-sarwa:S4; ae-sarwa:S7</t>
        </is>
      </c>
    </row>
    <row r="17">
      <c r="A17" s="9" t="inlineStr">
        <is>
          <t>Initiative</t>
        </is>
      </c>
      <c r="B17" s="9" t="inlineStr">
        <is>
          <t>ae-sarwa</t>
        </is>
      </c>
      <c r="C17" s="9" t="inlineStr">
        <is>
          <t>Sarwa</t>
        </is>
      </c>
      <c r="D17" s="9" t="inlineStr">
        <is>
          <t>2025-11-18</t>
        </is>
      </c>
      <c r="E17" s="9" t="n"/>
      <c r="F17" s="9" t="n"/>
      <c r="G17" s="5" t="inlineStr">
        <is>
          <t>Time-limited uncapped 3% match on transfers of USD 20k+ from other brokers into Sarwa Trade (18 Nov–2 Dec 2025)</t>
        </is>
      </c>
      <c r="H17" s="9" t="n"/>
      <c r="I17" s="9" t="inlineStr">
        <is>
          <t>ae-sarwa:S13</t>
        </is>
      </c>
    </row>
    <row r="18">
      <c r="A18" s="9" t="inlineStr">
        <is>
          <t>Initiative</t>
        </is>
      </c>
      <c r="B18" s="9" t="inlineStr">
        <is>
          <t>ae-sarwa</t>
        </is>
      </c>
      <c r="C18" s="9" t="inlineStr">
        <is>
          <t>Sarwa</t>
        </is>
      </c>
      <c r="D18" s="9" t="inlineStr">
        <is>
          <t>2026-05-04</t>
        </is>
      </c>
      <c r="E18" s="9" t="n"/>
      <c r="F18" s="9" t="n"/>
      <c r="G18" s="5" t="inlineStr">
        <is>
          <t>Announced it had crossed USD 1bn in client assets, 'first homegrown UAE fintech' to do so</t>
        </is>
      </c>
      <c r="H18" s="9" t="n"/>
      <c r="I18" s="9" t="inlineStr">
        <is>
          <t>ae-sarwa:S14; ae-sarwa:S15; ae-sarwa:S16</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T8"/>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13" customWidth="1" min="1" max="1"/>
    <col width="28" customWidth="1" min="2" max="2"/>
    <col width="11" customWidth="1" min="3" max="3"/>
    <col width="20" customWidth="1" min="4" max="4"/>
    <col width="22" customWidth="1" min="5" max="5"/>
    <col width="11" customWidth="1" min="6" max="6"/>
    <col width="11" customWidth="1" min="7" max="7"/>
    <col width="11" customWidth="1" min="8" max="8"/>
    <col width="11" customWidth="1" min="9" max="9"/>
    <col width="11" customWidth="1" min="10" max="10"/>
    <col width="11" customWidth="1" min="11" max="11"/>
    <col width="9" customWidth="1" min="12" max="12"/>
    <col width="9" customWidth="1" min="13" max="13"/>
    <col width="34" customWidth="1" min="14" max="14"/>
    <col width="36" customWidth="1" min="15" max="15"/>
    <col width="36" customWidth="1" min="16" max="16"/>
    <col width="36" customWidth="1" min="17" max="17"/>
    <col width="36" customWidth="1" min="18" max="18"/>
    <col width="36" customWidth="1" min="19" max="19"/>
    <col width="36" customWidth="1" min="20" max="20"/>
  </cols>
  <sheetData>
    <row r="1">
      <c r="A1" s="6" t="inlineStr">
        <is>
          <t>ARTA partner-fit screening</t>
        </is>
      </c>
    </row>
    <row r="2">
      <c r="A2" s="7" t="inlineStr">
        <is>
          <t>Component scores (0–5) come from the evidence in each profile. Change the weights in row 5; Score = Σ(weight × component/5) ÷ Σweights × 100. Tier 1 ≥ 65, Tier 2 ≥ 50.</t>
        </is>
      </c>
    </row>
    <row r="4">
      <c r="E4" s="18" t="inlineStr">
        <is>
          <t>Weights →</t>
        </is>
      </c>
      <c r="F4" s="19" t="inlineStr">
        <is>
          <t>Wealth franchise</t>
        </is>
      </c>
      <c r="G4" s="19" t="inlineStr">
        <is>
          <t>Scale</t>
        </is>
      </c>
      <c r="H4" s="19" t="inlineStr">
        <is>
          <t>Digital-investing gap</t>
        </is>
      </c>
      <c r="I4" s="19" t="inlineStr">
        <is>
          <t>Momentum</t>
        </is>
      </c>
      <c r="J4" s="19" t="inlineStr">
        <is>
          <t>Product-shelf fit</t>
        </is>
      </c>
      <c r="K4" s="19" t="inlineStr">
        <is>
          <t>Access &amp; relationship</t>
        </is>
      </c>
    </row>
    <row r="5">
      <c r="F5" s="20" t="n">
        <v>25</v>
      </c>
      <c r="G5" s="20" t="n">
        <v>15</v>
      </c>
      <c r="H5" s="20" t="n">
        <v>20</v>
      </c>
      <c r="I5" s="20" t="n">
        <v>20</v>
      </c>
      <c r="J5" s="20" t="n">
        <v>10</v>
      </c>
      <c r="K5" s="20" t="n">
        <v>10</v>
      </c>
    </row>
    <row r="7">
      <c r="A7" s="8" t="inlineStr">
        <is>
          <t>Institution ID</t>
        </is>
      </c>
      <c r="B7" s="8" t="inlineStr">
        <is>
          <t>Institution</t>
        </is>
      </c>
      <c r="C7" s="8" t="inlineStr">
        <is>
          <t>Market</t>
        </is>
      </c>
      <c r="D7" s="8" t="inlineStr">
        <is>
          <t>Category</t>
        </is>
      </c>
      <c r="E7" s="8" t="inlineStr">
        <is>
          <t>Type</t>
        </is>
      </c>
      <c r="F7" s="8" t="inlineStr">
        <is>
          <t>Wealth franchise</t>
        </is>
      </c>
      <c r="G7" s="8" t="inlineStr">
        <is>
          <t>Scale</t>
        </is>
      </c>
      <c r="H7" s="8" t="inlineStr">
        <is>
          <t>Digital-investing gap</t>
        </is>
      </c>
      <c r="I7" s="8" t="inlineStr">
        <is>
          <t>Momentum</t>
        </is>
      </c>
      <c r="J7" s="8" t="inlineStr">
        <is>
          <t>Product-shelf fit</t>
        </is>
      </c>
      <c r="K7" s="8" t="inlineStr">
        <is>
          <t>Access &amp; relationship</t>
        </is>
      </c>
      <c r="L7" s="8" t="inlineStr">
        <is>
          <t>Score</t>
        </is>
      </c>
      <c r="M7" s="8" t="inlineStr">
        <is>
          <t>Tier</t>
        </is>
      </c>
      <c r="N7" s="8" t="inlineStr">
        <is>
          <t>Flags (not scored)</t>
        </is>
      </c>
      <c r="O7" s="8" t="inlineStr">
        <is>
          <t>Wealth franchise — why</t>
        </is>
      </c>
      <c r="P7" s="8" t="inlineStr">
        <is>
          <t>Scale — why</t>
        </is>
      </c>
      <c r="Q7" s="8" t="inlineStr">
        <is>
          <t>Digital-investing gap — why</t>
        </is>
      </c>
      <c r="R7" s="8" t="inlineStr">
        <is>
          <t>Momentum — why</t>
        </is>
      </c>
      <c r="S7" s="8" t="inlineStr">
        <is>
          <t>Product-shelf fit — why</t>
        </is>
      </c>
      <c r="T7" s="8" t="inlineStr">
        <is>
          <t>Access &amp; relationship — why</t>
        </is>
      </c>
    </row>
    <row r="8">
      <c r="A8" s="21" t="inlineStr">
        <is>
          <t>ae-sarwa</t>
        </is>
      </c>
      <c r="B8" s="21" t="inlineStr">
        <is>
          <t>Sarwa</t>
        </is>
      </c>
      <c r="C8" s="21" t="inlineStr">
        <is>
          <t>UAE</t>
        </is>
      </c>
      <c r="D8" s="21" t="inlineStr">
        <is>
          <t>Non-bank</t>
        </is>
      </c>
      <c r="E8" s="21" t="inlineStr">
        <is>
          <t>Digital wealth platform</t>
        </is>
      </c>
      <c r="F8" s="21" t="n">
        <v>5</v>
      </c>
      <c r="G8" s="21" t="n">
        <v>2</v>
      </c>
      <c r="H8" s="21" t="n">
        <v>1</v>
      </c>
      <c r="I8" s="21" t="n">
        <v>4</v>
      </c>
      <c r="J8" s="21" t="n">
        <v>1</v>
      </c>
      <c r="K8" s="21" t="n">
        <v>1</v>
      </c>
      <c r="L8" s="22">
        <f>ROUND(SUMPRODUCT($F$5:$K$5,F8:K8)/5/SUM($F$5:$K$5)*100,1)</f>
        <v/>
      </c>
      <c r="M8">
        <f>IF(L8&gt;=65,"Tier 1",IF(L8&gt;=50,"Tier 2","Tier 3"))</f>
        <v/>
      </c>
      <c r="N8" s="3" t="inlineStr">
        <is>
          <t>Runs own digital wealth product: may compete as well as partner</t>
        </is>
      </c>
      <c r="O8" s="3" t="inlineStr">
        <is>
          <t>private banking, affluent/priority tier, asset management, brokerage, advisory/discretionary</t>
        </is>
      </c>
      <c r="P8" s="3" t="inlineStr">
        <is>
          <t>AUM/AUA USD 0.9bn</t>
        </is>
      </c>
      <c r="Q8" s="3" t="inlineStr">
        <is>
          <t>already offers digital model portfolios/robo; incumbent vendor(s): 4</t>
        </is>
      </c>
      <c r="R8" s="3" t="inlineStr">
        <is>
          <t>4 dated initiatives/partnerships in 2025–2026</t>
        </is>
      </c>
      <c r="S8" s="3" t="inlineStr">
        <is>
          <t>no structured products</t>
        </is>
      </c>
      <c r="T8" s="3" t="inlineStr">
        <is>
          <t>No recorded ARTA relationship; 1 verified wealth/digital decision-makers</t>
        </is>
      </c>
    </row>
  </sheetData>
  <autoFilter ref="A7:T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1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28" customWidth="1" min="2" max="2"/>
    <col width="10" customWidth="1" min="3" max="3"/>
    <col width="20"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8" customWidth="1" min="14" max="14"/>
    <col width="9" customWidth="1" min="15" max="15"/>
    <col width="9" customWidth="1" min="16" max="16"/>
    <col width="8" customWidth="1" min="17" max="17"/>
    <col width="11" customWidth="1" min="18" max="18"/>
  </cols>
  <sheetData>
    <row r="1">
      <c r="A1" s="6" t="inlineStr">
        <is>
          <t>Coverage report</t>
        </is>
      </c>
    </row>
    <row r="2">
      <c r="A2" s="7" t="inlineStr">
        <is>
          <t>1 of 106 planned institutions researched. 'Not publicly disclosed' = checked and not published; 'Not recorded' = gap to close.</t>
        </is>
      </c>
    </row>
    <row r="4" ht="30" customHeight="1">
      <c r="A4" s="8" t="inlineStr">
        <is>
          <t>Institution ID</t>
        </is>
      </c>
      <c r="B4" s="8" t="inlineStr">
        <is>
          <t>Institution</t>
        </is>
      </c>
      <c r="C4" s="8" t="inlineStr">
        <is>
          <t>Market</t>
        </is>
      </c>
      <c r="D4" s="8" t="inlineStr">
        <is>
          <t>Category</t>
        </is>
      </c>
      <c r="E4" s="8" t="inlineStr">
        <is>
          <t>Research status</t>
        </is>
      </c>
      <c r="F4" s="8" t="inlineStr">
        <is>
          <t>Total assets</t>
        </is>
      </c>
      <c r="G4" s="8" t="inlineStr">
        <is>
          <t>Deposits</t>
        </is>
      </c>
      <c r="H4" s="8" t="inlineStr">
        <is>
          <t>Loans</t>
        </is>
      </c>
      <c r="I4" s="8" t="inlineStr">
        <is>
          <t>Op. income</t>
        </is>
      </c>
      <c r="J4" s="8" t="inlineStr">
        <is>
          <t>Net profit</t>
        </is>
      </c>
      <c r="K4" s="8" t="inlineStr">
        <is>
          <t>AUM</t>
        </is>
      </c>
      <c r="L4" s="8" t="inlineStr">
        <is>
          <t>AUA</t>
        </is>
      </c>
      <c r="M4" s="8" t="inlineStr">
        <is>
          <t>Customers</t>
        </is>
      </c>
      <c r="N4" s="8" t="inlineStr">
        <is>
          <t>People</t>
        </is>
      </c>
      <c r="O4" s="8" t="inlineStr">
        <is>
          <t>Verified current</t>
        </is>
      </c>
      <c r="P4" s="8" t="inlineStr">
        <is>
          <t>LinkedIn verified</t>
        </is>
      </c>
      <c r="Q4" s="8" t="inlineStr">
        <is>
          <t>Sources</t>
        </is>
      </c>
      <c r="R4" s="8" t="inlineStr">
        <is>
          <t>Capability fields unresolved</t>
        </is>
      </c>
    </row>
    <row r="5">
      <c r="A5" s="5" t="inlineStr">
        <is>
          <t>ae-sarwa</t>
        </is>
      </c>
      <c r="B5" s="5" t="inlineStr">
        <is>
          <t>Sarwa</t>
        </is>
      </c>
      <c r="C5" s="5" t="inlineStr">
        <is>
          <t>UAE</t>
        </is>
      </c>
      <c r="D5" s="5" t="inlineStr">
        <is>
          <t>Non-bank</t>
        </is>
      </c>
      <c r="E5" s="23" t="inlineStr">
        <is>
          <t>Complete</t>
        </is>
      </c>
      <c r="F5" s="24" t="inlineStr">
        <is>
          <t>Not publicly disclosed</t>
        </is>
      </c>
      <c r="G5" s="5" t="inlineStr">
        <is>
          <t>Not recorded</t>
        </is>
      </c>
      <c r="H5" s="5" t="inlineStr">
        <is>
          <t>Not recorded</t>
        </is>
      </c>
      <c r="I5" s="24" t="inlineStr">
        <is>
          <t>Not publicly disclosed</t>
        </is>
      </c>
      <c r="J5" s="24" t="inlineStr">
        <is>
          <t>Not publicly disclosed</t>
        </is>
      </c>
      <c r="K5" s="5" t="inlineStr">
        <is>
          <t>Other period: End 2025</t>
        </is>
      </c>
      <c r="L5" s="5" t="inlineStr">
        <is>
          <t>Not recorded</t>
        </is>
      </c>
      <c r="M5" s="5" t="inlineStr">
        <is>
          <t>Other period: December 2025</t>
        </is>
      </c>
      <c r="N5" s="5" t="n">
        <v>5</v>
      </c>
      <c r="O5" s="5" t="n">
        <v>2</v>
      </c>
      <c r="P5" s="5" t="n">
        <v>4</v>
      </c>
      <c r="Q5" s="5" t="n">
        <v>31</v>
      </c>
      <c r="R5" s="5" t="n">
        <v>3</v>
      </c>
    </row>
    <row r="6">
      <c r="A6" s="5" t="inlineStr">
        <is>
          <t>ae-enbd</t>
        </is>
      </c>
      <c r="B6" s="5" t="inlineStr">
        <is>
          <t>Emirates NBD</t>
        </is>
      </c>
      <c r="C6" s="5" t="n"/>
      <c r="D6" s="5" t="n"/>
      <c r="E6" s="5" t="inlineStr">
        <is>
          <t>Outstanding (batch P1)</t>
        </is>
      </c>
      <c r="F6" s="5" t="inlineStr">
        <is>
          <t>Not researched</t>
        </is>
      </c>
      <c r="G6" s="5" t="inlineStr">
        <is>
          <t>Not researched</t>
        </is>
      </c>
      <c r="H6" s="5" t="inlineStr">
        <is>
          <t>Not researched</t>
        </is>
      </c>
      <c r="I6" s="5" t="inlineStr">
        <is>
          <t>Not researched</t>
        </is>
      </c>
      <c r="J6" s="5" t="inlineStr">
        <is>
          <t>Not researched</t>
        </is>
      </c>
      <c r="K6" s="5" t="inlineStr">
        <is>
          <t>Not researched</t>
        </is>
      </c>
      <c r="L6" s="5" t="inlineStr">
        <is>
          <t>Not researched</t>
        </is>
      </c>
      <c r="M6" s="5" t="inlineStr">
        <is>
          <t>Not researched</t>
        </is>
      </c>
      <c r="N6" s="5" t="n">
        <v>0</v>
      </c>
      <c r="O6" s="5" t="n">
        <v>0</v>
      </c>
      <c r="P6" s="5" t="n">
        <v>0</v>
      </c>
      <c r="Q6" s="5" t="n">
        <v>0</v>
      </c>
      <c r="R6" s="5" t="n"/>
    </row>
    <row r="7">
      <c r="A7" s="5" t="inlineStr">
        <is>
          <t>ae-ei</t>
        </is>
      </c>
      <c r="B7" s="5" t="inlineStr">
        <is>
          <t>Emirates Islamic</t>
        </is>
      </c>
      <c r="C7" s="5" t="n"/>
      <c r="D7" s="5" t="n"/>
      <c r="E7" s="5" t="inlineStr">
        <is>
          <t>Outstanding (batch P1)</t>
        </is>
      </c>
      <c r="F7" s="5" t="inlineStr">
        <is>
          <t>Not researched</t>
        </is>
      </c>
      <c r="G7" s="5" t="inlineStr">
        <is>
          <t>Not researched</t>
        </is>
      </c>
      <c r="H7" s="5" t="inlineStr">
        <is>
          <t>Not researched</t>
        </is>
      </c>
      <c r="I7" s="5" t="inlineStr">
        <is>
          <t>Not researched</t>
        </is>
      </c>
      <c r="J7" s="5" t="inlineStr">
        <is>
          <t>Not researched</t>
        </is>
      </c>
      <c r="K7" s="5" t="inlineStr">
        <is>
          <t>Not researched</t>
        </is>
      </c>
      <c r="L7" s="5" t="inlineStr">
        <is>
          <t>Not researched</t>
        </is>
      </c>
      <c r="M7" s="5" t="inlineStr">
        <is>
          <t>Not researched</t>
        </is>
      </c>
      <c r="N7" s="5" t="n">
        <v>0</v>
      </c>
      <c r="O7" s="5" t="n">
        <v>0</v>
      </c>
      <c r="P7" s="5" t="n">
        <v>0</v>
      </c>
      <c r="Q7" s="5" t="n">
        <v>0</v>
      </c>
      <c r="R7" s="5" t="n"/>
    </row>
    <row r="8">
      <c r="A8" s="5" t="inlineStr">
        <is>
          <t>sa-alinma</t>
        </is>
      </c>
      <c r="B8" s="5" t="inlineStr">
        <is>
          <t>Alinma Bank</t>
        </is>
      </c>
      <c r="C8" s="5" t="n"/>
      <c r="D8" s="5" t="n"/>
      <c r="E8" s="5" t="inlineStr">
        <is>
          <t>Outstanding (batch P2)</t>
        </is>
      </c>
      <c r="F8" s="5" t="inlineStr">
        <is>
          <t>Not researched</t>
        </is>
      </c>
      <c r="G8" s="5" t="inlineStr">
        <is>
          <t>Not researched</t>
        </is>
      </c>
      <c r="H8" s="5" t="inlineStr">
        <is>
          <t>Not researched</t>
        </is>
      </c>
      <c r="I8" s="5" t="inlineStr">
        <is>
          <t>Not researched</t>
        </is>
      </c>
      <c r="J8" s="5" t="inlineStr">
        <is>
          <t>Not researched</t>
        </is>
      </c>
      <c r="K8" s="5" t="inlineStr">
        <is>
          <t>Not researched</t>
        </is>
      </c>
      <c r="L8" s="5" t="inlineStr">
        <is>
          <t>Not researched</t>
        </is>
      </c>
      <c r="M8" s="5" t="inlineStr">
        <is>
          <t>Not researched</t>
        </is>
      </c>
      <c r="N8" s="5" t="n">
        <v>0</v>
      </c>
      <c r="O8" s="5" t="n">
        <v>0</v>
      </c>
      <c r="P8" s="5" t="n">
        <v>0</v>
      </c>
      <c r="Q8" s="5" t="n">
        <v>0</v>
      </c>
      <c r="R8" s="5" t="n"/>
    </row>
    <row r="9">
      <c r="A9" s="5" t="inlineStr">
        <is>
          <t>sa-alinma-capital</t>
        </is>
      </c>
      <c r="B9" s="5" t="inlineStr">
        <is>
          <t>Alinma Capital (Alinma Investment)</t>
        </is>
      </c>
      <c r="C9" s="5" t="n"/>
      <c r="D9" s="5" t="n"/>
      <c r="E9" s="5" t="inlineStr">
        <is>
          <t>Outstanding (batch P2)</t>
        </is>
      </c>
      <c r="F9" s="5" t="inlineStr">
        <is>
          <t>Not researched</t>
        </is>
      </c>
      <c r="G9" s="5" t="inlineStr">
        <is>
          <t>Not researched</t>
        </is>
      </c>
      <c r="H9" s="5" t="inlineStr">
        <is>
          <t>Not researched</t>
        </is>
      </c>
      <c r="I9" s="5" t="inlineStr">
        <is>
          <t>Not researched</t>
        </is>
      </c>
      <c r="J9" s="5" t="inlineStr">
        <is>
          <t>Not researched</t>
        </is>
      </c>
      <c r="K9" s="5" t="inlineStr">
        <is>
          <t>Not researched</t>
        </is>
      </c>
      <c r="L9" s="5" t="inlineStr">
        <is>
          <t>Not researched</t>
        </is>
      </c>
      <c r="M9" s="5" t="inlineStr">
        <is>
          <t>Not researched</t>
        </is>
      </c>
      <c r="N9" s="5" t="n">
        <v>0</v>
      </c>
      <c r="O9" s="5" t="n">
        <v>0</v>
      </c>
      <c r="P9" s="5" t="n">
        <v>0</v>
      </c>
      <c r="Q9" s="5" t="n">
        <v>0</v>
      </c>
      <c r="R9" s="5" t="n"/>
    </row>
    <row r="10">
      <c r="A10" s="5" t="inlineStr">
        <is>
          <t>kw-markaz</t>
        </is>
      </c>
      <c r="B10" s="5" t="inlineStr">
        <is>
          <t>Markaz (Kuwait Financial Centre)</t>
        </is>
      </c>
      <c r="C10" s="5" t="n"/>
      <c r="D10" s="5" t="n"/>
      <c r="E10" s="5" t="inlineStr">
        <is>
          <t>Outstanding (batch P3)</t>
        </is>
      </c>
      <c r="F10" s="5" t="inlineStr">
        <is>
          <t>Not researched</t>
        </is>
      </c>
      <c r="G10" s="5" t="inlineStr">
        <is>
          <t>Not researched</t>
        </is>
      </c>
      <c r="H10" s="5" t="inlineStr">
        <is>
          <t>Not researched</t>
        </is>
      </c>
      <c r="I10" s="5" t="inlineStr">
        <is>
          <t>Not researched</t>
        </is>
      </c>
      <c r="J10" s="5" t="inlineStr">
        <is>
          <t>Not researched</t>
        </is>
      </c>
      <c r="K10" s="5" t="inlineStr">
        <is>
          <t>Not researched</t>
        </is>
      </c>
      <c r="L10" s="5" t="inlineStr">
        <is>
          <t>Not researched</t>
        </is>
      </c>
      <c r="M10" s="5" t="inlineStr">
        <is>
          <t>Not researched</t>
        </is>
      </c>
      <c r="N10" s="5" t="n">
        <v>0</v>
      </c>
      <c r="O10" s="5" t="n">
        <v>0</v>
      </c>
      <c r="P10" s="5" t="n">
        <v>0</v>
      </c>
      <c r="Q10" s="5" t="n">
        <v>0</v>
      </c>
      <c r="R10" s="5" t="n"/>
    </row>
    <row r="11">
      <c r="A11" s="5" t="inlineStr">
        <is>
          <t>ae-fab</t>
        </is>
      </c>
      <c r="B11" s="5" t="inlineStr">
        <is>
          <t>First Abu Dhabi Bank</t>
        </is>
      </c>
      <c r="C11" s="5" t="n"/>
      <c r="D11" s="5" t="n"/>
      <c r="E11" s="5" t="inlineStr">
        <is>
          <t>Outstanding (batch B01)</t>
        </is>
      </c>
      <c r="F11" s="5" t="inlineStr">
        <is>
          <t>Not researched</t>
        </is>
      </c>
      <c r="G11" s="5" t="inlineStr">
        <is>
          <t>Not researched</t>
        </is>
      </c>
      <c r="H11" s="5" t="inlineStr">
        <is>
          <t>Not researched</t>
        </is>
      </c>
      <c r="I11" s="5" t="inlineStr">
        <is>
          <t>Not researched</t>
        </is>
      </c>
      <c r="J11" s="5" t="inlineStr">
        <is>
          <t>Not researched</t>
        </is>
      </c>
      <c r="K11" s="5" t="inlineStr">
        <is>
          <t>Not researched</t>
        </is>
      </c>
      <c r="L11" s="5" t="inlineStr">
        <is>
          <t>Not researched</t>
        </is>
      </c>
      <c r="M11" s="5" t="inlineStr">
        <is>
          <t>Not researched</t>
        </is>
      </c>
      <c r="N11" s="5" t="n">
        <v>0</v>
      </c>
      <c r="O11" s="5" t="n">
        <v>0</v>
      </c>
      <c r="P11" s="5" t="n">
        <v>0</v>
      </c>
      <c r="Q11" s="5" t="n">
        <v>0</v>
      </c>
      <c r="R11" s="5" t="n"/>
    </row>
    <row r="12">
      <c r="A12" s="5" t="inlineStr">
        <is>
          <t>ae-adcb</t>
        </is>
      </c>
      <c r="B12" s="5" t="inlineStr">
        <is>
          <t>Abu Dhabi Commercial Bank</t>
        </is>
      </c>
      <c r="C12" s="5" t="n"/>
      <c r="D12" s="5" t="n"/>
      <c r="E12" s="5" t="inlineStr">
        <is>
          <t>Outstanding (batch B01)</t>
        </is>
      </c>
      <c r="F12" s="5" t="inlineStr">
        <is>
          <t>Not researched</t>
        </is>
      </c>
      <c r="G12" s="5" t="inlineStr">
        <is>
          <t>Not researched</t>
        </is>
      </c>
      <c r="H12" s="5" t="inlineStr">
        <is>
          <t>Not researched</t>
        </is>
      </c>
      <c r="I12" s="5" t="inlineStr">
        <is>
          <t>Not researched</t>
        </is>
      </c>
      <c r="J12" s="5" t="inlineStr">
        <is>
          <t>Not researched</t>
        </is>
      </c>
      <c r="K12" s="5" t="inlineStr">
        <is>
          <t>Not researched</t>
        </is>
      </c>
      <c r="L12" s="5" t="inlineStr">
        <is>
          <t>Not researched</t>
        </is>
      </c>
      <c r="M12" s="5" t="inlineStr">
        <is>
          <t>Not researched</t>
        </is>
      </c>
      <c r="N12" s="5" t="n">
        <v>0</v>
      </c>
      <c r="O12" s="5" t="n">
        <v>0</v>
      </c>
      <c r="P12" s="5" t="n">
        <v>0</v>
      </c>
      <c r="Q12" s="5" t="n">
        <v>0</v>
      </c>
      <c r="R12" s="5" t="n"/>
    </row>
    <row r="13">
      <c r="A13" s="5" t="inlineStr">
        <is>
          <t>ae-dib</t>
        </is>
      </c>
      <c r="B13" s="5" t="inlineStr">
        <is>
          <t>Dubai Islamic Bank</t>
        </is>
      </c>
      <c r="C13" s="5" t="n"/>
      <c r="D13" s="5" t="n"/>
      <c r="E13" s="5" t="inlineStr">
        <is>
          <t>Outstanding (batch B02)</t>
        </is>
      </c>
      <c r="F13" s="5" t="inlineStr">
        <is>
          <t>Not researched</t>
        </is>
      </c>
      <c r="G13" s="5" t="inlineStr">
        <is>
          <t>Not researched</t>
        </is>
      </c>
      <c r="H13" s="5" t="inlineStr">
        <is>
          <t>Not researched</t>
        </is>
      </c>
      <c r="I13" s="5" t="inlineStr">
        <is>
          <t>Not researched</t>
        </is>
      </c>
      <c r="J13" s="5" t="inlineStr">
        <is>
          <t>Not researched</t>
        </is>
      </c>
      <c r="K13" s="5" t="inlineStr">
        <is>
          <t>Not researched</t>
        </is>
      </c>
      <c r="L13" s="5" t="inlineStr">
        <is>
          <t>Not researched</t>
        </is>
      </c>
      <c r="M13" s="5" t="inlineStr">
        <is>
          <t>Not researched</t>
        </is>
      </c>
      <c r="N13" s="5" t="n">
        <v>0</v>
      </c>
      <c r="O13" s="5" t="n">
        <v>0</v>
      </c>
      <c r="P13" s="5" t="n">
        <v>0</v>
      </c>
      <c r="Q13" s="5" t="n">
        <v>0</v>
      </c>
      <c r="R13" s="5" t="n"/>
    </row>
    <row r="14">
      <c r="A14" s="5" t="inlineStr">
        <is>
          <t>ae-adib</t>
        </is>
      </c>
      <c r="B14" s="5" t="inlineStr">
        <is>
          <t>Abu Dhabi Islamic Bank</t>
        </is>
      </c>
      <c r="C14" s="5" t="n"/>
      <c r="D14" s="5" t="n"/>
      <c r="E14" s="5" t="inlineStr">
        <is>
          <t>Outstanding (batch B02)</t>
        </is>
      </c>
      <c r="F14" s="5" t="inlineStr">
        <is>
          <t>Not researched</t>
        </is>
      </c>
      <c r="G14" s="5" t="inlineStr">
        <is>
          <t>Not researched</t>
        </is>
      </c>
      <c r="H14" s="5" t="inlineStr">
        <is>
          <t>Not researched</t>
        </is>
      </c>
      <c r="I14" s="5" t="inlineStr">
        <is>
          <t>Not researched</t>
        </is>
      </c>
      <c r="J14" s="5" t="inlineStr">
        <is>
          <t>Not researched</t>
        </is>
      </c>
      <c r="K14" s="5" t="inlineStr">
        <is>
          <t>Not researched</t>
        </is>
      </c>
      <c r="L14" s="5" t="inlineStr">
        <is>
          <t>Not researched</t>
        </is>
      </c>
      <c r="M14" s="5" t="inlineStr">
        <is>
          <t>Not researched</t>
        </is>
      </c>
      <c r="N14" s="5" t="n">
        <v>0</v>
      </c>
      <c r="O14" s="5" t="n">
        <v>0</v>
      </c>
      <c r="P14" s="5" t="n">
        <v>0</v>
      </c>
      <c r="Q14" s="5" t="n">
        <v>0</v>
      </c>
      <c r="R14" s="5" t="n"/>
    </row>
    <row r="15">
      <c r="A15" s="5" t="inlineStr">
        <is>
          <t>ae-mashreq</t>
        </is>
      </c>
      <c r="B15" s="5" t="inlineStr">
        <is>
          <t>Mashreq</t>
        </is>
      </c>
      <c r="C15" s="5" t="n"/>
      <c r="D15" s="5" t="n"/>
      <c r="E15" s="5" t="inlineStr">
        <is>
          <t>Outstanding (batch B03)</t>
        </is>
      </c>
      <c r="F15" s="5" t="inlineStr">
        <is>
          <t>Not researched</t>
        </is>
      </c>
      <c r="G15" s="5" t="inlineStr">
        <is>
          <t>Not researched</t>
        </is>
      </c>
      <c r="H15" s="5" t="inlineStr">
        <is>
          <t>Not researched</t>
        </is>
      </c>
      <c r="I15" s="5" t="inlineStr">
        <is>
          <t>Not researched</t>
        </is>
      </c>
      <c r="J15" s="5" t="inlineStr">
        <is>
          <t>Not researched</t>
        </is>
      </c>
      <c r="K15" s="5" t="inlineStr">
        <is>
          <t>Not researched</t>
        </is>
      </c>
      <c r="L15" s="5" t="inlineStr">
        <is>
          <t>Not researched</t>
        </is>
      </c>
      <c r="M15" s="5" t="inlineStr">
        <is>
          <t>Not researched</t>
        </is>
      </c>
      <c r="N15" s="5" t="n">
        <v>0</v>
      </c>
      <c r="O15" s="5" t="n">
        <v>0</v>
      </c>
      <c r="P15" s="5" t="n">
        <v>0</v>
      </c>
      <c r="Q15" s="5" t="n">
        <v>0</v>
      </c>
      <c r="R15" s="5" t="n"/>
    </row>
    <row r="16">
      <c r="A16" s="5" t="inlineStr">
        <is>
          <t>ae-cbd</t>
        </is>
      </c>
      <c r="B16" s="5" t="inlineStr">
        <is>
          <t>Commercial Bank of Dubai</t>
        </is>
      </c>
      <c r="C16" s="5" t="n"/>
      <c r="D16" s="5" t="n"/>
      <c r="E16" s="5" t="inlineStr">
        <is>
          <t>Outstanding (batch B03)</t>
        </is>
      </c>
      <c r="F16" s="5" t="inlineStr">
        <is>
          <t>Not researched</t>
        </is>
      </c>
      <c r="G16" s="5" t="inlineStr">
        <is>
          <t>Not researched</t>
        </is>
      </c>
      <c r="H16" s="5" t="inlineStr">
        <is>
          <t>Not researched</t>
        </is>
      </c>
      <c r="I16" s="5" t="inlineStr">
        <is>
          <t>Not researched</t>
        </is>
      </c>
      <c r="J16" s="5" t="inlineStr">
        <is>
          <t>Not researched</t>
        </is>
      </c>
      <c r="K16" s="5" t="inlineStr">
        <is>
          <t>Not researched</t>
        </is>
      </c>
      <c r="L16" s="5" t="inlineStr">
        <is>
          <t>Not researched</t>
        </is>
      </c>
      <c r="M16" s="5" t="inlineStr">
        <is>
          <t>Not researched</t>
        </is>
      </c>
      <c r="N16" s="5" t="n">
        <v>0</v>
      </c>
      <c r="O16" s="5" t="n">
        <v>0</v>
      </c>
      <c r="P16" s="5" t="n">
        <v>0</v>
      </c>
      <c r="Q16" s="5" t="n">
        <v>0</v>
      </c>
      <c r="R16" s="5" t="n"/>
    </row>
    <row r="17">
      <c r="A17" s="5" t="inlineStr">
        <is>
          <t>ae-rakbank</t>
        </is>
      </c>
      <c r="B17" s="5" t="inlineStr">
        <is>
          <t>RAKBANK (National Bank of Ras Al Khaimah)</t>
        </is>
      </c>
      <c r="C17" s="5" t="n"/>
      <c r="D17" s="5" t="n"/>
      <c r="E17" s="5" t="inlineStr">
        <is>
          <t>Outstanding (batch B04)</t>
        </is>
      </c>
      <c r="F17" s="5" t="inlineStr">
        <is>
          <t>Not researched</t>
        </is>
      </c>
      <c r="G17" s="5" t="inlineStr">
        <is>
          <t>Not researched</t>
        </is>
      </c>
      <c r="H17" s="5" t="inlineStr">
        <is>
          <t>Not researched</t>
        </is>
      </c>
      <c r="I17" s="5" t="inlineStr">
        <is>
          <t>Not researched</t>
        </is>
      </c>
      <c r="J17" s="5" t="inlineStr">
        <is>
          <t>Not researched</t>
        </is>
      </c>
      <c r="K17" s="5" t="inlineStr">
        <is>
          <t>Not researched</t>
        </is>
      </c>
      <c r="L17" s="5" t="inlineStr">
        <is>
          <t>Not researched</t>
        </is>
      </c>
      <c r="M17" s="5" t="inlineStr">
        <is>
          <t>Not researched</t>
        </is>
      </c>
      <c r="N17" s="5" t="n">
        <v>0</v>
      </c>
      <c r="O17" s="5" t="n">
        <v>0</v>
      </c>
      <c r="P17" s="5" t="n">
        <v>0</v>
      </c>
      <c r="Q17" s="5" t="n">
        <v>0</v>
      </c>
      <c r="R17" s="5" t="n"/>
    </row>
    <row r="18">
      <c r="A18" s="5" t="inlineStr">
        <is>
          <t>ae-nbf</t>
        </is>
      </c>
      <c r="B18" s="5" t="inlineStr">
        <is>
          <t>National Bank of Fujairah</t>
        </is>
      </c>
      <c r="C18" s="5" t="n"/>
      <c r="D18" s="5" t="n"/>
      <c r="E18" s="5" t="inlineStr">
        <is>
          <t>Outstanding (batch B04)</t>
        </is>
      </c>
      <c r="F18" s="5" t="inlineStr">
        <is>
          <t>Not researched</t>
        </is>
      </c>
      <c r="G18" s="5" t="inlineStr">
        <is>
          <t>Not researched</t>
        </is>
      </c>
      <c r="H18" s="5" t="inlineStr">
        <is>
          <t>Not researched</t>
        </is>
      </c>
      <c r="I18" s="5" t="inlineStr">
        <is>
          <t>Not researched</t>
        </is>
      </c>
      <c r="J18" s="5" t="inlineStr">
        <is>
          <t>Not researched</t>
        </is>
      </c>
      <c r="K18" s="5" t="inlineStr">
        <is>
          <t>Not researched</t>
        </is>
      </c>
      <c r="L18" s="5" t="inlineStr">
        <is>
          <t>Not researched</t>
        </is>
      </c>
      <c r="M18" s="5" t="inlineStr">
        <is>
          <t>Not researched</t>
        </is>
      </c>
      <c r="N18" s="5" t="n">
        <v>0</v>
      </c>
      <c r="O18" s="5" t="n">
        <v>0</v>
      </c>
      <c r="P18" s="5" t="n">
        <v>0</v>
      </c>
      <c r="Q18" s="5" t="n">
        <v>0</v>
      </c>
      <c r="R18" s="5" t="n"/>
    </row>
    <row r="19">
      <c r="A19" s="5" t="inlineStr">
        <is>
          <t>ae-sib</t>
        </is>
      </c>
      <c r="B19" s="5" t="inlineStr">
        <is>
          <t>Sharjah Islamic Bank</t>
        </is>
      </c>
      <c r="C19" s="5" t="n"/>
      <c r="D19" s="5" t="n"/>
      <c r="E19" s="5" t="inlineStr">
        <is>
          <t>Outstanding (batch B04)</t>
        </is>
      </c>
      <c r="F19" s="5" t="inlineStr">
        <is>
          <t>Not researched</t>
        </is>
      </c>
      <c r="G19" s="5" t="inlineStr">
        <is>
          <t>Not researched</t>
        </is>
      </c>
      <c r="H19" s="5" t="inlineStr">
        <is>
          <t>Not researched</t>
        </is>
      </c>
      <c r="I19" s="5" t="inlineStr">
        <is>
          <t>Not researched</t>
        </is>
      </c>
      <c r="J19" s="5" t="inlineStr">
        <is>
          <t>Not researched</t>
        </is>
      </c>
      <c r="K19" s="5" t="inlineStr">
        <is>
          <t>Not researched</t>
        </is>
      </c>
      <c r="L19" s="5" t="inlineStr">
        <is>
          <t>Not researched</t>
        </is>
      </c>
      <c r="M19" s="5" t="inlineStr">
        <is>
          <t>Not researched</t>
        </is>
      </c>
      <c r="N19" s="5" t="n">
        <v>0</v>
      </c>
      <c r="O19" s="5" t="n">
        <v>0</v>
      </c>
      <c r="P19" s="5" t="n">
        <v>0</v>
      </c>
      <c r="Q19" s="5" t="n">
        <v>0</v>
      </c>
      <c r="R19" s="5" t="n"/>
    </row>
    <row r="20">
      <c r="A20" s="5" t="inlineStr">
        <is>
          <t>ae-bos</t>
        </is>
      </c>
      <c r="B20" s="5" t="inlineStr">
        <is>
          <t>Bank of Sharjah</t>
        </is>
      </c>
      <c r="C20" s="5" t="n"/>
      <c r="D20" s="5" t="n"/>
      <c r="E20" s="5" t="inlineStr">
        <is>
          <t>Outstanding (batch B05)</t>
        </is>
      </c>
      <c r="F20" s="5" t="inlineStr">
        <is>
          <t>Not researched</t>
        </is>
      </c>
      <c r="G20" s="5" t="inlineStr">
        <is>
          <t>Not researched</t>
        </is>
      </c>
      <c r="H20" s="5" t="inlineStr">
        <is>
          <t>Not researched</t>
        </is>
      </c>
      <c r="I20" s="5" t="inlineStr">
        <is>
          <t>Not researched</t>
        </is>
      </c>
      <c r="J20" s="5" t="inlineStr">
        <is>
          <t>Not researched</t>
        </is>
      </c>
      <c r="K20" s="5" t="inlineStr">
        <is>
          <t>Not researched</t>
        </is>
      </c>
      <c r="L20" s="5" t="inlineStr">
        <is>
          <t>Not researched</t>
        </is>
      </c>
      <c r="M20" s="5" t="inlineStr">
        <is>
          <t>Not researched</t>
        </is>
      </c>
      <c r="N20" s="5" t="n">
        <v>0</v>
      </c>
      <c r="O20" s="5" t="n">
        <v>0</v>
      </c>
      <c r="P20" s="5" t="n">
        <v>0</v>
      </c>
      <c r="Q20" s="5" t="n">
        <v>0</v>
      </c>
      <c r="R20" s="5" t="n"/>
    </row>
    <row r="21">
      <c r="A21" s="5" t="inlineStr">
        <is>
          <t>ae-cbi</t>
        </is>
      </c>
      <c r="B21" s="5" t="inlineStr">
        <is>
          <t>Commercial Bank International</t>
        </is>
      </c>
      <c r="C21" s="5" t="n"/>
      <c r="D21" s="5" t="n"/>
      <c r="E21" s="5" t="inlineStr">
        <is>
          <t>Outstanding (batch B05)</t>
        </is>
      </c>
      <c r="F21" s="5" t="inlineStr">
        <is>
          <t>Not researched</t>
        </is>
      </c>
      <c r="G21" s="5" t="inlineStr">
        <is>
          <t>Not researched</t>
        </is>
      </c>
      <c r="H21" s="5" t="inlineStr">
        <is>
          <t>Not researched</t>
        </is>
      </c>
      <c r="I21" s="5" t="inlineStr">
        <is>
          <t>Not researched</t>
        </is>
      </c>
      <c r="J21" s="5" t="inlineStr">
        <is>
          <t>Not researched</t>
        </is>
      </c>
      <c r="K21" s="5" t="inlineStr">
        <is>
          <t>Not researched</t>
        </is>
      </c>
      <c r="L21" s="5" t="inlineStr">
        <is>
          <t>Not researched</t>
        </is>
      </c>
      <c r="M21" s="5" t="inlineStr">
        <is>
          <t>Not researched</t>
        </is>
      </c>
      <c r="N21" s="5" t="n">
        <v>0</v>
      </c>
      <c r="O21" s="5" t="n">
        <v>0</v>
      </c>
      <c r="P21" s="5" t="n">
        <v>0</v>
      </c>
      <c r="Q21" s="5" t="n">
        <v>0</v>
      </c>
      <c r="R21" s="5" t="n"/>
    </row>
    <row r="22">
      <c r="A22" s="5" t="inlineStr">
        <is>
          <t>ae-investbank</t>
        </is>
      </c>
      <c r="B22" s="5" t="inlineStr">
        <is>
          <t>Invest Bank</t>
        </is>
      </c>
      <c r="C22" s="5" t="n"/>
      <c r="D22" s="5" t="n"/>
      <c r="E22" s="5" t="inlineStr">
        <is>
          <t>Outstanding (batch B05)</t>
        </is>
      </c>
      <c r="F22" s="5" t="inlineStr">
        <is>
          <t>Not researched</t>
        </is>
      </c>
      <c r="G22" s="5" t="inlineStr">
        <is>
          <t>Not researched</t>
        </is>
      </c>
      <c r="H22" s="5" t="inlineStr">
        <is>
          <t>Not researched</t>
        </is>
      </c>
      <c r="I22" s="5" t="inlineStr">
        <is>
          <t>Not researched</t>
        </is>
      </c>
      <c r="J22" s="5" t="inlineStr">
        <is>
          <t>Not researched</t>
        </is>
      </c>
      <c r="K22" s="5" t="inlineStr">
        <is>
          <t>Not researched</t>
        </is>
      </c>
      <c r="L22" s="5" t="inlineStr">
        <is>
          <t>Not researched</t>
        </is>
      </c>
      <c r="M22" s="5" t="inlineStr">
        <is>
          <t>Not researched</t>
        </is>
      </c>
      <c r="N22" s="5" t="n">
        <v>0</v>
      </c>
      <c r="O22" s="5" t="n">
        <v>0</v>
      </c>
      <c r="P22" s="5" t="n">
        <v>0</v>
      </c>
      <c r="Q22" s="5" t="n">
        <v>0</v>
      </c>
      <c r="R22" s="5" t="n"/>
    </row>
    <row r="23">
      <c r="A23" s="5" t="inlineStr">
        <is>
          <t>ae-ajman</t>
        </is>
      </c>
      <c r="B23" s="5" t="inlineStr">
        <is>
          <t>Ajman Bank</t>
        </is>
      </c>
      <c r="C23" s="5" t="n"/>
      <c r="D23" s="5" t="n"/>
      <c r="E23" s="5" t="inlineStr">
        <is>
          <t>Outstanding (batch B05)</t>
        </is>
      </c>
      <c r="F23" s="5" t="inlineStr">
        <is>
          <t>Not researched</t>
        </is>
      </c>
      <c r="G23" s="5" t="inlineStr">
        <is>
          <t>Not researched</t>
        </is>
      </c>
      <c r="H23" s="5" t="inlineStr">
        <is>
          <t>Not researched</t>
        </is>
      </c>
      <c r="I23" s="5" t="inlineStr">
        <is>
          <t>Not researched</t>
        </is>
      </c>
      <c r="J23" s="5" t="inlineStr">
        <is>
          <t>Not researched</t>
        </is>
      </c>
      <c r="K23" s="5" t="inlineStr">
        <is>
          <t>Not researched</t>
        </is>
      </c>
      <c r="L23" s="5" t="inlineStr">
        <is>
          <t>Not researched</t>
        </is>
      </c>
      <c r="M23" s="5" t="inlineStr">
        <is>
          <t>Not researched</t>
        </is>
      </c>
      <c r="N23" s="5" t="n">
        <v>0</v>
      </c>
      <c r="O23" s="5" t="n">
        <v>0</v>
      </c>
      <c r="P23" s="5" t="n">
        <v>0</v>
      </c>
      <c r="Q23" s="5" t="n">
        <v>0</v>
      </c>
      <c r="R23" s="5" t="n"/>
    </row>
    <row r="24">
      <c r="A24" s="5" t="inlineStr">
        <is>
          <t>ae-uab</t>
        </is>
      </c>
      <c r="B24" s="5" t="inlineStr">
        <is>
          <t>United Arab Bank</t>
        </is>
      </c>
      <c r="C24" s="5" t="n"/>
      <c r="D24" s="5" t="n"/>
      <c r="E24" s="5" t="inlineStr">
        <is>
          <t>Outstanding (batch B06)</t>
        </is>
      </c>
      <c r="F24" s="5" t="inlineStr">
        <is>
          <t>Not researched</t>
        </is>
      </c>
      <c r="G24" s="5" t="inlineStr">
        <is>
          <t>Not researched</t>
        </is>
      </c>
      <c r="H24" s="5" t="inlineStr">
        <is>
          <t>Not researched</t>
        </is>
      </c>
      <c r="I24" s="5" t="inlineStr">
        <is>
          <t>Not researched</t>
        </is>
      </c>
      <c r="J24" s="5" t="inlineStr">
        <is>
          <t>Not researched</t>
        </is>
      </c>
      <c r="K24" s="5" t="inlineStr">
        <is>
          <t>Not researched</t>
        </is>
      </c>
      <c r="L24" s="5" t="inlineStr">
        <is>
          <t>Not researched</t>
        </is>
      </c>
      <c r="M24" s="5" t="inlineStr">
        <is>
          <t>Not researched</t>
        </is>
      </c>
      <c r="N24" s="5" t="n">
        <v>0</v>
      </c>
      <c r="O24" s="5" t="n">
        <v>0</v>
      </c>
      <c r="P24" s="5" t="n">
        <v>0</v>
      </c>
      <c r="Q24" s="5" t="n">
        <v>0</v>
      </c>
      <c r="R24" s="5" t="n"/>
    </row>
    <row r="25">
      <c r="A25" s="5" t="inlineStr">
        <is>
          <t>ae-nbq</t>
        </is>
      </c>
      <c r="B25" s="5" t="inlineStr">
        <is>
          <t>National Bank of Umm Al Qaiwain</t>
        </is>
      </c>
      <c r="C25" s="5" t="n"/>
      <c r="D25" s="5" t="n"/>
      <c r="E25" s="5" t="inlineStr">
        <is>
          <t>Outstanding (batch B06)</t>
        </is>
      </c>
      <c r="F25" s="5" t="inlineStr">
        <is>
          <t>Not researched</t>
        </is>
      </c>
      <c r="G25" s="5" t="inlineStr">
        <is>
          <t>Not researched</t>
        </is>
      </c>
      <c r="H25" s="5" t="inlineStr">
        <is>
          <t>Not researched</t>
        </is>
      </c>
      <c r="I25" s="5" t="inlineStr">
        <is>
          <t>Not researched</t>
        </is>
      </c>
      <c r="J25" s="5" t="inlineStr">
        <is>
          <t>Not researched</t>
        </is>
      </c>
      <c r="K25" s="5" t="inlineStr">
        <is>
          <t>Not researched</t>
        </is>
      </c>
      <c r="L25" s="5" t="inlineStr">
        <is>
          <t>Not researched</t>
        </is>
      </c>
      <c r="M25" s="5" t="inlineStr">
        <is>
          <t>Not researched</t>
        </is>
      </c>
      <c r="N25" s="5" t="n">
        <v>0</v>
      </c>
      <c r="O25" s="5" t="n">
        <v>0</v>
      </c>
      <c r="P25" s="5" t="n">
        <v>0</v>
      </c>
      <c r="Q25" s="5" t="n">
        <v>0</v>
      </c>
      <c r="R25" s="5" t="n"/>
    </row>
    <row r="26">
      <c r="A26" s="5" t="inlineStr">
        <is>
          <t>ae-almasraf</t>
        </is>
      </c>
      <c r="B26" s="5" t="inlineStr">
        <is>
          <t>Al Masraf (Arab Bank for Investment and Foreign Trade)</t>
        </is>
      </c>
      <c r="C26" s="5" t="n"/>
      <c r="D26" s="5" t="n"/>
      <c r="E26" s="5" t="inlineStr">
        <is>
          <t>Outstanding (batch B06)</t>
        </is>
      </c>
      <c r="F26" s="5" t="inlineStr">
        <is>
          <t>Not researched</t>
        </is>
      </c>
      <c r="G26" s="5" t="inlineStr">
        <is>
          <t>Not researched</t>
        </is>
      </c>
      <c r="H26" s="5" t="inlineStr">
        <is>
          <t>Not researched</t>
        </is>
      </c>
      <c r="I26" s="5" t="inlineStr">
        <is>
          <t>Not researched</t>
        </is>
      </c>
      <c r="J26" s="5" t="inlineStr">
        <is>
          <t>Not researched</t>
        </is>
      </c>
      <c r="K26" s="5" t="inlineStr">
        <is>
          <t>Not researched</t>
        </is>
      </c>
      <c r="L26" s="5" t="inlineStr">
        <is>
          <t>Not researched</t>
        </is>
      </c>
      <c r="M26" s="5" t="inlineStr">
        <is>
          <t>Not researched</t>
        </is>
      </c>
      <c r="N26" s="5" t="n">
        <v>0</v>
      </c>
      <c r="O26" s="5" t="n">
        <v>0</v>
      </c>
      <c r="P26" s="5" t="n">
        <v>0</v>
      </c>
      <c r="Q26" s="5" t="n">
        <v>0</v>
      </c>
      <c r="R26" s="5" t="n"/>
    </row>
    <row r="27">
      <c r="A27" s="5" t="inlineStr">
        <is>
          <t>ae-eib</t>
        </is>
      </c>
      <c r="B27" s="5" t="inlineStr">
        <is>
          <t>Emirates Investment Bank</t>
        </is>
      </c>
      <c r="C27" s="5" t="n"/>
      <c r="D27" s="5" t="n"/>
      <c r="E27" s="5" t="inlineStr">
        <is>
          <t>Outstanding (batch B06)</t>
        </is>
      </c>
      <c r="F27" s="5" t="inlineStr">
        <is>
          <t>Not researched</t>
        </is>
      </c>
      <c r="G27" s="5" t="inlineStr">
        <is>
          <t>Not researched</t>
        </is>
      </c>
      <c r="H27" s="5" t="inlineStr">
        <is>
          <t>Not researched</t>
        </is>
      </c>
      <c r="I27" s="5" t="inlineStr">
        <is>
          <t>Not researched</t>
        </is>
      </c>
      <c r="J27" s="5" t="inlineStr">
        <is>
          <t>Not researched</t>
        </is>
      </c>
      <c r="K27" s="5" t="inlineStr">
        <is>
          <t>Not researched</t>
        </is>
      </c>
      <c r="L27" s="5" t="inlineStr">
        <is>
          <t>Not researched</t>
        </is>
      </c>
      <c r="M27" s="5" t="inlineStr">
        <is>
          <t>Not researched</t>
        </is>
      </c>
      <c r="N27" s="5" t="n">
        <v>0</v>
      </c>
      <c r="O27" s="5" t="n">
        <v>0</v>
      </c>
      <c r="P27" s="5" t="n">
        <v>0</v>
      </c>
      <c r="Q27" s="5" t="n">
        <v>0</v>
      </c>
      <c r="R27" s="5" t="n"/>
    </row>
    <row r="28">
      <c r="A28" s="5" t="inlineStr">
        <is>
          <t>ae-wio</t>
        </is>
      </c>
      <c r="B28" s="5" t="inlineStr">
        <is>
          <t>Wio Bank</t>
        </is>
      </c>
      <c r="C28" s="5" t="n"/>
      <c r="D28" s="5" t="n"/>
      <c r="E28" s="5" t="inlineStr">
        <is>
          <t>Outstanding (batch B07)</t>
        </is>
      </c>
      <c r="F28" s="5" t="inlineStr">
        <is>
          <t>Not researched</t>
        </is>
      </c>
      <c r="G28" s="5" t="inlineStr">
        <is>
          <t>Not researched</t>
        </is>
      </c>
      <c r="H28" s="5" t="inlineStr">
        <is>
          <t>Not researched</t>
        </is>
      </c>
      <c r="I28" s="5" t="inlineStr">
        <is>
          <t>Not researched</t>
        </is>
      </c>
      <c r="J28" s="5" t="inlineStr">
        <is>
          <t>Not researched</t>
        </is>
      </c>
      <c r="K28" s="5" t="inlineStr">
        <is>
          <t>Not researched</t>
        </is>
      </c>
      <c r="L28" s="5" t="inlineStr">
        <is>
          <t>Not researched</t>
        </is>
      </c>
      <c r="M28" s="5" t="inlineStr">
        <is>
          <t>Not researched</t>
        </is>
      </c>
      <c r="N28" s="5" t="n">
        <v>0</v>
      </c>
      <c r="O28" s="5" t="n">
        <v>0</v>
      </c>
      <c r="P28" s="5" t="n">
        <v>0</v>
      </c>
      <c r="Q28" s="5" t="n">
        <v>0</v>
      </c>
      <c r="R28" s="5" t="n"/>
    </row>
    <row r="29">
      <c r="A29" s="5" t="inlineStr">
        <is>
          <t>ae-zand</t>
        </is>
      </c>
      <c r="B29" s="5" t="inlineStr">
        <is>
          <t>Zand Bank</t>
        </is>
      </c>
      <c r="C29" s="5" t="n"/>
      <c r="D29" s="5" t="n"/>
      <c r="E29" s="5" t="inlineStr">
        <is>
          <t>Outstanding (batch B07)</t>
        </is>
      </c>
      <c r="F29" s="5" t="inlineStr">
        <is>
          <t>Not researched</t>
        </is>
      </c>
      <c r="G29" s="5" t="inlineStr">
        <is>
          <t>Not researched</t>
        </is>
      </c>
      <c r="H29" s="5" t="inlineStr">
        <is>
          <t>Not researched</t>
        </is>
      </c>
      <c r="I29" s="5" t="inlineStr">
        <is>
          <t>Not researched</t>
        </is>
      </c>
      <c r="J29" s="5" t="inlineStr">
        <is>
          <t>Not researched</t>
        </is>
      </c>
      <c r="K29" s="5" t="inlineStr">
        <is>
          <t>Not researched</t>
        </is>
      </c>
      <c r="L29" s="5" t="inlineStr">
        <is>
          <t>Not researched</t>
        </is>
      </c>
      <c r="M29" s="5" t="inlineStr">
        <is>
          <t>Not researched</t>
        </is>
      </c>
      <c r="N29" s="5" t="n">
        <v>0</v>
      </c>
      <c r="O29" s="5" t="n">
        <v>0</v>
      </c>
      <c r="P29" s="5" t="n">
        <v>0</v>
      </c>
      <c r="Q29" s="5" t="n">
        <v>0</v>
      </c>
      <c r="R29" s="5" t="n"/>
    </row>
    <row r="30">
      <c r="A30" s="5" t="inlineStr">
        <is>
          <t>ae-ruya</t>
        </is>
      </c>
      <c r="B30" s="5" t="inlineStr">
        <is>
          <t>Ruya Community Islamic Bank</t>
        </is>
      </c>
      <c r="C30" s="5" t="n"/>
      <c r="D30" s="5" t="n"/>
      <c r="E30" s="5" t="inlineStr">
        <is>
          <t>Outstanding (batch B07)</t>
        </is>
      </c>
      <c r="F30" s="5" t="inlineStr">
        <is>
          <t>Not researched</t>
        </is>
      </c>
      <c r="G30" s="5" t="inlineStr">
        <is>
          <t>Not researched</t>
        </is>
      </c>
      <c r="H30" s="5" t="inlineStr">
        <is>
          <t>Not researched</t>
        </is>
      </c>
      <c r="I30" s="5" t="inlineStr">
        <is>
          <t>Not researched</t>
        </is>
      </c>
      <c r="J30" s="5" t="inlineStr">
        <is>
          <t>Not researched</t>
        </is>
      </c>
      <c r="K30" s="5" t="inlineStr">
        <is>
          <t>Not researched</t>
        </is>
      </c>
      <c r="L30" s="5" t="inlineStr">
        <is>
          <t>Not researched</t>
        </is>
      </c>
      <c r="M30" s="5" t="inlineStr">
        <is>
          <t>Not researched</t>
        </is>
      </c>
      <c r="N30" s="5" t="n">
        <v>0</v>
      </c>
      <c r="O30" s="5" t="n">
        <v>0</v>
      </c>
      <c r="P30" s="5" t="n">
        <v>0</v>
      </c>
      <c r="Q30" s="5" t="n">
        <v>0</v>
      </c>
      <c r="R30" s="5" t="n"/>
    </row>
    <row r="31">
      <c r="A31" s="5" t="inlineStr">
        <is>
          <t>ae-mbank</t>
        </is>
      </c>
      <c r="B31" s="5" t="inlineStr">
        <is>
          <t>Mbank (Al Maryah Community Bank)</t>
        </is>
      </c>
      <c r="C31" s="5" t="n"/>
      <c r="D31" s="5" t="n"/>
      <c r="E31" s="5" t="inlineStr">
        <is>
          <t>Outstanding (batch B07)</t>
        </is>
      </c>
      <c r="F31" s="5" t="inlineStr">
        <is>
          <t>Not researched</t>
        </is>
      </c>
      <c r="G31" s="5" t="inlineStr">
        <is>
          <t>Not researched</t>
        </is>
      </c>
      <c r="H31" s="5" t="inlineStr">
        <is>
          <t>Not researched</t>
        </is>
      </c>
      <c r="I31" s="5" t="inlineStr">
        <is>
          <t>Not researched</t>
        </is>
      </c>
      <c r="J31" s="5" t="inlineStr">
        <is>
          <t>Not researched</t>
        </is>
      </c>
      <c r="K31" s="5" t="inlineStr">
        <is>
          <t>Not researched</t>
        </is>
      </c>
      <c r="L31" s="5" t="inlineStr">
        <is>
          <t>Not researched</t>
        </is>
      </c>
      <c r="M31" s="5" t="inlineStr">
        <is>
          <t>Not researched</t>
        </is>
      </c>
      <c r="N31" s="5" t="n">
        <v>0</v>
      </c>
      <c r="O31" s="5" t="n">
        <v>0</v>
      </c>
      <c r="P31" s="5" t="n">
        <v>0</v>
      </c>
      <c r="Q31" s="5" t="n">
        <v>0</v>
      </c>
      <c r="R31" s="5" t="n"/>
    </row>
    <row r="32">
      <c r="A32" s="5" t="inlineStr">
        <is>
          <t>ae-financehouse</t>
        </is>
      </c>
      <c r="B32" s="5" t="inlineStr">
        <is>
          <t>Finance House</t>
        </is>
      </c>
      <c r="C32" s="5" t="n"/>
      <c r="D32" s="5" t="n"/>
      <c r="E32" s="5" t="inlineStr">
        <is>
          <t>Outstanding (batch B08)</t>
        </is>
      </c>
      <c r="F32" s="5" t="inlineStr">
        <is>
          <t>Not researched</t>
        </is>
      </c>
      <c r="G32" s="5" t="inlineStr">
        <is>
          <t>Not researched</t>
        </is>
      </c>
      <c r="H32" s="5" t="inlineStr">
        <is>
          <t>Not researched</t>
        </is>
      </c>
      <c r="I32" s="5" t="inlineStr">
        <is>
          <t>Not researched</t>
        </is>
      </c>
      <c r="J32" s="5" t="inlineStr">
        <is>
          <t>Not researched</t>
        </is>
      </c>
      <c r="K32" s="5" t="inlineStr">
        <is>
          <t>Not researched</t>
        </is>
      </c>
      <c r="L32" s="5" t="inlineStr">
        <is>
          <t>Not researched</t>
        </is>
      </c>
      <c r="M32" s="5" t="inlineStr">
        <is>
          <t>Not researched</t>
        </is>
      </c>
      <c r="N32" s="5" t="n">
        <v>0</v>
      </c>
      <c r="O32" s="5" t="n">
        <v>0</v>
      </c>
      <c r="P32" s="5" t="n">
        <v>0</v>
      </c>
      <c r="Q32" s="5" t="n">
        <v>0</v>
      </c>
      <c r="R32" s="5" t="n"/>
    </row>
    <row r="33">
      <c r="A33" s="5" t="inlineStr">
        <is>
          <t>ae-intlsecurities</t>
        </is>
      </c>
      <c r="B33" s="5" t="inlineStr">
        <is>
          <t>International Securities</t>
        </is>
      </c>
      <c r="C33" s="5" t="n"/>
      <c r="D33" s="5" t="n"/>
      <c r="E33" s="5" t="inlineStr">
        <is>
          <t>Outstanding (batch B08)</t>
        </is>
      </c>
      <c r="F33" s="5" t="inlineStr">
        <is>
          <t>Not researched</t>
        </is>
      </c>
      <c r="G33" s="5" t="inlineStr">
        <is>
          <t>Not researched</t>
        </is>
      </c>
      <c r="H33" s="5" t="inlineStr">
        <is>
          <t>Not researched</t>
        </is>
      </c>
      <c r="I33" s="5" t="inlineStr">
        <is>
          <t>Not researched</t>
        </is>
      </c>
      <c r="J33" s="5" t="inlineStr">
        <is>
          <t>Not researched</t>
        </is>
      </c>
      <c r="K33" s="5" t="inlineStr">
        <is>
          <t>Not researched</t>
        </is>
      </c>
      <c r="L33" s="5" t="inlineStr">
        <is>
          <t>Not researched</t>
        </is>
      </c>
      <c r="M33" s="5" t="inlineStr">
        <is>
          <t>Not researched</t>
        </is>
      </c>
      <c r="N33" s="5" t="n">
        <v>0</v>
      </c>
      <c r="O33" s="5" t="n">
        <v>0</v>
      </c>
      <c r="P33" s="5" t="n">
        <v>0</v>
      </c>
      <c r="Q33" s="5" t="n">
        <v>0</v>
      </c>
      <c r="R33" s="5" t="n"/>
    </row>
    <row r="34">
      <c r="A34" s="5" t="inlineStr">
        <is>
          <t>ae-alramz</t>
        </is>
      </c>
      <c r="B34" s="5" t="inlineStr">
        <is>
          <t>Al Ramz Capital</t>
        </is>
      </c>
      <c r="C34" s="5" t="n"/>
      <c r="D34" s="5" t="n"/>
      <c r="E34" s="5" t="inlineStr">
        <is>
          <t>Outstanding (batch B08)</t>
        </is>
      </c>
      <c r="F34" s="5" t="inlineStr">
        <is>
          <t>Not researched</t>
        </is>
      </c>
      <c r="G34" s="5" t="inlineStr">
        <is>
          <t>Not researched</t>
        </is>
      </c>
      <c r="H34" s="5" t="inlineStr">
        <is>
          <t>Not researched</t>
        </is>
      </c>
      <c r="I34" s="5" t="inlineStr">
        <is>
          <t>Not researched</t>
        </is>
      </c>
      <c r="J34" s="5" t="inlineStr">
        <is>
          <t>Not researched</t>
        </is>
      </c>
      <c r="K34" s="5" t="inlineStr">
        <is>
          <t>Not researched</t>
        </is>
      </c>
      <c r="L34" s="5" t="inlineStr">
        <is>
          <t>Not researched</t>
        </is>
      </c>
      <c r="M34" s="5" t="inlineStr">
        <is>
          <t>Not researched</t>
        </is>
      </c>
      <c r="N34" s="5" t="n">
        <v>0</v>
      </c>
      <c r="O34" s="5" t="n">
        <v>0</v>
      </c>
      <c r="P34" s="5" t="n">
        <v>0</v>
      </c>
      <c r="Q34" s="5" t="n">
        <v>0</v>
      </c>
      <c r="R34" s="5" t="n"/>
    </row>
    <row r="35">
      <c r="A35" s="5" t="inlineStr">
        <is>
          <t>ae-shuaa</t>
        </is>
      </c>
      <c r="B35" s="5" t="inlineStr">
        <is>
          <t>SHUAA Capital</t>
        </is>
      </c>
      <c r="C35" s="5" t="n"/>
      <c r="D35" s="5" t="n"/>
      <c r="E35" s="5" t="inlineStr">
        <is>
          <t>Outstanding (batch B08)</t>
        </is>
      </c>
      <c r="F35" s="5" t="inlineStr">
        <is>
          <t>Not researched</t>
        </is>
      </c>
      <c r="G35" s="5" t="inlineStr">
        <is>
          <t>Not researched</t>
        </is>
      </c>
      <c r="H35" s="5" t="inlineStr">
        <is>
          <t>Not researched</t>
        </is>
      </c>
      <c r="I35" s="5" t="inlineStr">
        <is>
          <t>Not researched</t>
        </is>
      </c>
      <c r="J35" s="5" t="inlineStr">
        <is>
          <t>Not researched</t>
        </is>
      </c>
      <c r="K35" s="5" t="inlineStr">
        <is>
          <t>Not researched</t>
        </is>
      </c>
      <c r="L35" s="5" t="inlineStr">
        <is>
          <t>Not researched</t>
        </is>
      </c>
      <c r="M35" s="5" t="inlineStr">
        <is>
          <t>Not researched</t>
        </is>
      </c>
      <c r="N35" s="5" t="n">
        <v>0</v>
      </c>
      <c r="O35" s="5" t="n">
        <v>0</v>
      </c>
      <c r="P35" s="5" t="n">
        <v>0</v>
      </c>
      <c r="Q35" s="5" t="n">
        <v>0</v>
      </c>
      <c r="R35" s="5" t="n"/>
    </row>
    <row r="36">
      <c r="A36" s="5" t="inlineStr">
        <is>
          <t>ae-arqaam</t>
        </is>
      </c>
      <c r="B36" s="5" t="inlineStr">
        <is>
          <t>Arqaam Capital</t>
        </is>
      </c>
      <c r="C36" s="5" t="n"/>
      <c r="D36" s="5" t="n"/>
      <c r="E36" s="5" t="inlineStr">
        <is>
          <t>Outstanding (batch B08)</t>
        </is>
      </c>
      <c r="F36" s="5" t="inlineStr">
        <is>
          <t>Not researched</t>
        </is>
      </c>
      <c r="G36" s="5" t="inlineStr">
        <is>
          <t>Not researched</t>
        </is>
      </c>
      <c r="H36" s="5" t="inlineStr">
        <is>
          <t>Not researched</t>
        </is>
      </c>
      <c r="I36" s="5" t="inlineStr">
        <is>
          <t>Not researched</t>
        </is>
      </c>
      <c r="J36" s="5" t="inlineStr">
        <is>
          <t>Not researched</t>
        </is>
      </c>
      <c r="K36" s="5" t="inlineStr">
        <is>
          <t>Not researched</t>
        </is>
      </c>
      <c r="L36" s="5" t="inlineStr">
        <is>
          <t>Not researched</t>
        </is>
      </c>
      <c r="M36" s="5" t="inlineStr">
        <is>
          <t>Not researched</t>
        </is>
      </c>
      <c r="N36" s="5" t="n">
        <v>0</v>
      </c>
      <c r="O36" s="5" t="n">
        <v>0</v>
      </c>
      <c r="P36" s="5" t="n">
        <v>0</v>
      </c>
      <c r="Q36" s="5" t="n">
        <v>0</v>
      </c>
      <c r="R36" s="5" t="n"/>
    </row>
    <row r="37">
      <c r="A37" s="5" t="inlineStr">
        <is>
          <t>ae-baraka</t>
        </is>
      </c>
      <c r="B37" s="5" t="inlineStr">
        <is>
          <t>Baraka</t>
        </is>
      </c>
      <c r="C37" s="5" t="n"/>
      <c r="D37" s="5" t="n"/>
      <c r="E37" s="5" t="inlineStr">
        <is>
          <t>Outstanding (batch B09)</t>
        </is>
      </c>
      <c r="F37" s="5" t="inlineStr">
        <is>
          <t>Not researched</t>
        </is>
      </c>
      <c r="G37" s="5" t="inlineStr">
        <is>
          <t>Not researched</t>
        </is>
      </c>
      <c r="H37" s="5" t="inlineStr">
        <is>
          <t>Not researched</t>
        </is>
      </c>
      <c r="I37" s="5" t="inlineStr">
        <is>
          <t>Not researched</t>
        </is>
      </c>
      <c r="J37" s="5" t="inlineStr">
        <is>
          <t>Not researched</t>
        </is>
      </c>
      <c r="K37" s="5" t="inlineStr">
        <is>
          <t>Not researched</t>
        </is>
      </c>
      <c r="L37" s="5" t="inlineStr">
        <is>
          <t>Not researched</t>
        </is>
      </c>
      <c r="M37" s="5" t="inlineStr">
        <is>
          <t>Not researched</t>
        </is>
      </c>
      <c r="N37" s="5" t="n">
        <v>0</v>
      </c>
      <c r="O37" s="5" t="n">
        <v>0</v>
      </c>
      <c r="P37" s="5" t="n">
        <v>0</v>
      </c>
      <c r="Q37" s="5" t="n">
        <v>0</v>
      </c>
      <c r="R37" s="5" t="n"/>
    </row>
    <row r="38">
      <c r="A38" s="5" t="inlineStr">
        <is>
          <t>ae-stashaway</t>
        </is>
      </c>
      <c r="B38" s="5" t="inlineStr">
        <is>
          <t>StashAway (MENA)</t>
        </is>
      </c>
      <c r="C38" s="5" t="n"/>
      <c r="D38" s="5" t="n"/>
      <c r="E38" s="5" t="inlineStr">
        <is>
          <t>Outstanding (batch B09)</t>
        </is>
      </c>
      <c r="F38" s="5" t="inlineStr">
        <is>
          <t>Not researched</t>
        </is>
      </c>
      <c r="G38" s="5" t="inlineStr">
        <is>
          <t>Not researched</t>
        </is>
      </c>
      <c r="H38" s="5" t="inlineStr">
        <is>
          <t>Not researched</t>
        </is>
      </c>
      <c r="I38" s="5" t="inlineStr">
        <is>
          <t>Not researched</t>
        </is>
      </c>
      <c r="J38" s="5" t="inlineStr">
        <is>
          <t>Not researched</t>
        </is>
      </c>
      <c r="K38" s="5" t="inlineStr">
        <is>
          <t>Not researched</t>
        </is>
      </c>
      <c r="L38" s="5" t="inlineStr">
        <is>
          <t>Not researched</t>
        </is>
      </c>
      <c r="M38" s="5" t="inlineStr">
        <is>
          <t>Not researched</t>
        </is>
      </c>
      <c r="N38" s="5" t="n">
        <v>0</v>
      </c>
      <c r="O38" s="5" t="n">
        <v>0</v>
      </c>
      <c r="P38" s="5" t="n">
        <v>0</v>
      </c>
      <c r="Q38" s="5" t="n">
        <v>0</v>
      </c>
      <c r="R38" s="5" t="n"/>
    </row>
    <row r="39">
      <c r="A39" s="5" t="inlineStr">
        <is>
          <t>kw-kic</t>
        </is>
      </c>
      <c r="B39" s="5" t="inlineStr">
        <is>
          <t>Kuwait Investment Company</t>
        </is>
      </c>
      <c r="C39" s="5" t="n"/>
      <c r="D39" s="5" t="n"/>
      <c r="E39" s="5" t="inlineStr">
        <is>
          <t>Outstanding (batch B09)</t>
        </is>
      </c>
      <c r="F39" s="5" t="inlineStr">
        <is>
          <t>Not researched</t>
        </is>
      </c>
      <c r="G39" s="5" t="inlineStr">
        <is>
          <t>Not researched</t>
        </is>
      </c>
      <c r="H39" s="5" t="inlineStr">
        <is>
          <t>Not researched</t>
        </is>
      </c>
      <c r="I39" s="5" t="inlineStr">
        <is>
          <t>Not researched</t>
        </is>
      </c>
      <c r="J39" s="5" t="inlineStr">
        <is>
          <t>Not researched</t>
        </is>
      </c>
      <c r="K39" s="5" t="inlineStr">
        <is>
          <t>Not researched</t>
        </is>
      </c>
      <c r="L39" s="5" t="inlineStr">
        <is>
          <t>Not researched</t>
        </is>
      </c>
      <c r="M39" s="5" t="inlineStr">
        <is>
          <t>Not researched</t>
        </is>
      </c>
      <c r="N39" s="5" t="n">
        <v>0</v>
      </c>
      <c r="O39" s="5" t="n">
        <v>0</v>
      </c>
      <c r="P39" s="5" t="n">
        <v>0</v>
      </c>
      <c r="Q39" s="5" t="n">
        <v>0</v>
      </c>
      <c r="R39" s="5" t="n"/>
    </row>
    <row r="40">
      <c r="A40" s="5" t="inlineStr">
        <is>
          <t>om-ubhar</t>
        </is>
      </c>
      <c r="B40" s="5" t="inlineStr">
        <is>
          <t>Ubhar Capital</t>
        </is>
      </c>
      <c r="C40" s="5" t="n"/>
      <c r="D40" s="5" t="n"/>
      <c r="E40" s="5" t="inlineStr">
        <is>
          <t>Outstanding (batch B09)</t>
        </is>
      </c>
      <c r="F40" s="5" t="inlineStr">
        <is>
          <t>Not researched</t>
        </is>
      </c>
      <c r="G40" s="5" t="inlineStr">
        <is>
          <t>Not researched</t>
        </is>
      </c>
      <c r="H40" s="5" t="inlineStr">
        <is>
          <t>Not researched</t>
        </is>
      </c>
      <c r="I40" s="5" t="inlineStr">
        <is>
          <t>Not researched</t>
        </is>
      </c>
      <c r="J40" s="5" t="inlineStr">
        <is>
          <t>Not researched</t>
        </is>
      </c>
      <c r="K40" s="5" t="inlineStr">
        <is>
          <t>Not researched</t>
        </is>
      </c>
      <c r="L40" s="5" t="inlineStr">
        <is>
          <t>Not researched</t>
        </is>
      </c>
      <c r="M40" s="5" t="inlineStr">
        <is>
          <t>Not researched</t>
        </is>
      </c>
      <c r="N40" s="5" t="n">
        <v>0</v>
      </c>
      <c r="O40" s="5" t="n">
        <v>0</v>
      </c>
      <c r="P40" s="5" t="n">
        <v>0</v>
      </c>
      <c r="Q40" s="5" t="n">
        <v>0</v>
      </c>
      <c r="R40" s="5" t="n"/>
    </row>
    <row r="41">
      <c r="A41" s="5" t="inlineStr">
        <is>
          <t>sa-snb</t>
        </is>
      </c>
      <c r="B41" s="5" t="inlineStr">
        <is>
          <t>Saudi National Bank</t>
        </is>
      </c>
      <c r="C41" s="5" t="n"/>
      <c r="D41" s="5" t="n"/>
      <c r="E41" s="5" t="inlineStr">
        <is>
          <t>Outstanding (batch B10)</t>
        </is>
      </c>
      <c r="F41" s="5" t="inlineStr">
        <is>
          <t>Not researched</t>
        </is>
      </c>
      <c r="G41" s="5" t="inlineStr">
        <is>
          <t>Not researched</t>
        </is>
      </c>
      <c r="H41" s="5" t="inlineStr">
        <is>
          <t>Not researched</t>
        </is>
      </c>
      <c r="I41" s="5" t="inlineStr">
        <is>
          <t>Not researched</t>
        </is>
      </c>
      <c r="J41" s="5" t="inlineStr">
        <is>
          <t>Not researched</t>
        </is>
      </c>
      <c r="K41" s="5" t="inlineStr">
        <is>
          <t>Not researched</t>
        </is>
      </c>
      <c r="L41" s="5" t="inlineStr">
        <is>
          <t>Not researched</t>
        </is>
      </c>
      <c r="M41" s="5" t="inlineStr">
        <is>
          <t>Not researched</t>
        </is>
      </c>
      <c r="N41" s="5" t="n">
        <v>0</v>
      </c>
      <c r="O41" s="5" t="n">
        <v>0</v>
      </c>
      <c r="P41" s="5" t="n">
        <v>0</v>
      </c>
      <c r="Q41" s="5" t="n">
        <v>0</v>
      </c>
      <c r="R41" s="5" t="n"/>
    </row>
    <row r="42">
      <c r="A42" s="5" t="inlineStr">
        <is>
          <t>sa-snb-capital</t>
        </is>
      </c>
      <c r="B42" s="5" t="inlineStr">
        <is>
          <t>SNB Capital</t>
        </is>
      </c>
      <c r="C42" s="5" t="n"/>
      <c r="D42" s="5" t="n"/>
      <c r="E42" s="5" t="inlineStr">
        <is>
          <t>Outstanding (batch B10)</t>
        </is>
      </c>
      <c r="F42" s="5" t="inlineStr">
        <is>
          <t>Not researched</t>
        </is>
      </c>
      <c r="G42" s="5" t="inlineStr">
        <is>
          <t>Not researched</t>
        </is>
      </c>
      <c r="H42" s="5" t="inlineStr">
        <is>
          <t>Not researched</t>
        </is>
      </c>
      <c r="I42" s="5" t="inlineStr">
        <is>
          <t>Not researched</t>
        </is>
      </c>
      <c r="J42" s="5" t="inlineStr">
        <is>
          <t>Not researched</t>
        </is>
      </c>
      <c r="K42" s="5" t="inlineStr">
        <is>
          <t>Not researched</t>
        </is>
      </c>
      <c r="L42" s="5" t="inlineStr">
        <is>
          <t>Not researched</t>
        </is>
      </c>
      <c r="M42" s="5" t="inlineStr">
        <is>
          <t>Not researched</t>
        </is>
      </c>
      <c r="N42" s="5" t="n">
        <v>0</v>
      </c>
      <c r="O42" s="5" t="n">
        <v>0</v>
      </c>
      <c r="P42" s="5" t="n">
        <v>0</v>
      </c>
      <c r="Q42" s="5" t="n">
        <v>0</v>
      </c>
      <c r="R42" s="5" t="n"/>
    </row>
    <row r="43">
      <c r="A43" s="5" t="inlineStr">
        <is>
          <t>sa-alrajhi</t>
        </is>
      </c>
      <c r="B43" s="5" t="inlineStr">
        <is>
          <t>Al Rajhi Bank</t>
        </is>
      </c>
      <c r="C43" s="5" t="n"/>
      <c r="D43" s="5" t="n"/>
      <c r="E43" s="5" t="inlineStr">
        <is>
          <t>Outstanding (batch B11)</t>
        </is>
      </c>
      <c r="F43" s="5" t="inlineStr">
        <is>
          <t>Not researched</t>
        </is>
      </c>
      <c r="G43" s="5" t="inlineStr">
        <is>
          <t>Not researched</t>
        </is>
      </c>
      <c r="H43" s="5" t="inlineStr">
        <is>
          <t>Not researched</t>
        </is>
      </c>
      <c r="I43" s="5" t="inlineStr">
        <is>
          <t>Not researched</t>
        </is>
      </c>
      <c r="J43" s="5" t="inlineStr">
        <is>
          <t>Not researched</t>
        </is>
      </c>
      <c r="K43" s="5" t="inlineStr">
        <is>
          <t>Not researched</t>
        </is>
      </c>
      <c r="L43" s="5" t="inlineStr">
        <is>
          <t>Not researched</t>
        </is>
      </c>
      <c r="M43" s="5" t="inlineStr">
        <is>
          <t>Not researched</t>
        </is>
      </c>
      <c r="N43" s="5" t="n">
        <v>0</v>
      </c>
      <c r="O43" s="5" t="n">
        <v>0</v>
      </c>
      <c r="P43" s="5" t="n">
        <v>0</v>
      </c>
      <c r="Q43" s="5" t="n">
        <v>0</v>
      </c>
      <c r="R43" s="5" t="n"/>
    </row>
    <row r="44">
      <c r="A44" s="5" t="inlineStr">
        <is>
          <t>sa-alrajhi-capital</t>
        </is>
      </c>
      <c r="B44" s="5" t="inlineStr">
        <is>
          <t>Al Rajhi Capital</t>
        </is>
      </c>
      <c r="C44" s="5" t="n"/>
      <c r="D44" s="5" t="n"/>
      <c r="E44" s="5" t="inlineStr">
        <is>
          <t>Outstanding (batch B11)</t>
        </is>
      </c>
      <c r="F44" s="5" t="inlineStr">
        <is>
          <t>Not researched</t>
        </is>
      </c>
      <c r="G44" s="5" t="inlineStr">
        <is>
          <t>Not researched</t>
        </is>
      </c>
      <c r="H44" s="5" t="inlineStr">
        <is>
          <t>Not researched</t>
        </is>
      </c>
      <c r="I44" s="5" t="inlineStr">
        <is>
          <t>Not researched</t>
        </is>
      </c>
      <c r="J44" s="5" t="inlineStr">
        <is>
          <t>Not researched</t>
        </is>
      </c>
      <c r="K44" s="5" t="inlineStr">
        <is>
          <t>Not researched</t>
        </is>
      </c>
      <c r="L44" s="5" t="inlineStr">
        <is>
          <t>Not researched</t>
        </is>
      </c>
      <c r="M44" s="5" t="inlineStr">
        <is>
          <t>Not researched</t>
        </is>
      </c>
      <c r="N44" s="5" t="n">
        <v>0</v>
      </c>
      <c r="O44" s="5" t="n">
        <v>0</v>
      </c>
      <c r="P44" s="5" t="n">
        <v>0</v>
      </c>
      <c r="Q44" s="5" t="n">
        <v>0</v>
      </c>
      <c r="R44" s="5" t="n"/>
    </row>
    <row r="45">
      <c r="A45" s="5" t="inlineStr">
        <is>
          <t>sa-riyad</t>
        </is>
      </c>
      <c r="B45" s="5" t="inlineStr">
        <is>
          <t>Riyad Bank</t>
        </is>
      </c>
      <c r="C45" s="5" t="n"/>
      <c r="D45" s="5" t="n"/>
      <c r="E45" s="5" t="inlineStr">
        <is>
          <t>Outstanding (batch B12)</t>
        </is>
      </c>
      <c r="F45" s="5" t="inlineStr">
        <is>
          <t>Not researched</t>
        </is>
      </c>
      <c r="G45" s="5" t="inlineStr">
        <is>
          <t>Not researched</t>
        </is>
      </c>
      <c r="H45" s="5" t="inlineStr">
        <is>
          <t>Not researched</t>
        </is>
      </c>
      <c r="I45" s="5" t="inlineStr">
        <is>
          <t>Not researched</t>
        </is>
      </c>
      <c r="J45" s="5" t="inlineStr">
        <is>
          <t>Not researched</t>
        </is>
      </c>
      <c r="K45" s="5" t="inlineStr">
        <is>
          <t>Not researched</t>
        </is>
      </c>
      <c r="L45" s="5" t="inlineStr">
        <is>
          <t>Not researched</t>
        </is>
      </c>
      <c r="M45" s="5" t="inlineStr">
        <is>
          <t>Not researched</t>
        </is>
      </c>
      <c r="N45" s="5" t="n">
        <v>0</v>
      </c>
      <c r="O45" s="5" t="n">
        <v>0</v>
      </c>
      <c r="P45" s="5" t="n">
        <v>0</v>
      </c>
      <c r="Q45" s="5" t="n">
        <v>0</v>
      </c>
      <c r="R45" s="5" t="n"/>
    </row>
    <row r="46">
      <c r="A46" s="5" t="inlineStr">
        <is>
          <t>sa-riyad-capital</t>
        </is>
      </c>
      <c r="B46" s="5" t="inlineStr">
        <is>
          <t>Riyad Capital</t>
        </is>
      </c>
      <c r="C46" s="5" t="n"/>
      <c r="D46" s="5" t="n"/>
      <c r="E46" s="5" t="inlineStr">
        <is>
          <t>Outstanding (batch B12)</t>
        </is>
      </c>
      <c r="F46" s="5" t="inlineStr">
        <is>
          <t>Not researched</t>
        </is>
      </c>
      <c r="G46" s="5" t="inlineStr">
        <is>
          <t>Not researched</t>
        </is>
      </c>
      <c r="H46" s="5" t="inlineStr">
        <is>
          <t>Not researched</t>
        </is>
      </c>
      <c r="I46" s="5" t="inlineStr">
        <is>
          <t>Not researched</t>
        </is>
      </c>
      <c r="J46" s="5" t="inlineStr">
        <is>
          <t>Not researched</t>
        </is>
      </c>
      <c r="K46" s="5" t="inlineStr">
        <is>
          <t>Not researched</t>
        </is>
      </c>
      <c r="L46" s="5" t="inlineStr">
        <is>
          <t>Not researched</t>
        </is>
      </c>
      <c r="M46" s="5" t="inlineStr">
        <is>
          <t>Not researched</t>
        </is>
      </c>
      <c r="N46" s="5" t="n">
        <v>0</v>
      </c>
      <c r="O46" s="5" t="n">
        <v>0</v>
      </c>
      <c r="P46" s="5" t="n">
        <v>0</v>
      </c>
      <c r="Q46" s="5" t="n">
        <v>0</v>
      </c>
      <c r="R46" s="5" t="n"/>
    </row>
    <row r="47">
      <c r="A47" s="5" t="inlineStr">
        <is>
          <t>sa-sab</t>
        </is>
      </c>
      <c r="B47" s="5" t="inlineStr">
        <is>
          <t>Saudi Awwal Bank (SAB)</t>
        </is>
      </c>
      <c r="C47" s="5" t="n"/>
      <c r="D47" s="5" t="n"/>
      <c r="E47" s="5" t="inlineStr">
        <is>
          <t>Outstanding (batch B13)</t>
        </is>
      </c>
      <c r="F47" s="5" t="inlineStr">
        <is>
          <t>Not researched</t>
        </is>
      </c>
      <c r="G47" s="5" t="inlineStr">
        <is>
          <t>Not researched</t>
        </is>
      </c>
      <c r="H47" s="5" t="inlineStr">
        <is>
          <t>Not researched</t>
        </is>
      </c>
      <c r="I47" s="5" t="inlineStr">
        <is>
          <t>Not researched</t>
        </is>
      </c>
      <c r="J47" s="5" t="inlineStr">
        <is>
          <t>Not researched</t>
        </is>
      </c>
      <c r="K47" s="5" t="inlineStr">
        <is>
          <t>Not researched</t>
        </is>
      </c>
      <c r="L47" s="5" t="inlineStr">
        <is>
          <t>Not researched</t>
        </is>
      </c>
      <c r="M47" s="5" t="inlineStr">
        <is>
          <t>Not researched</t>
        </is>
      </c>
      <c r="N47" s="5" t="n">
        <v>0</v>
      </c>
      <c r="O47" s="5" t="n">
        <v>0</v>
      </c>
      <c r="P47" s="5" t="n">
        <v>0</v>
      </c>
      <c r="Q47" s="5" t="n">
        <v>0</v>
      </c>
      <c r="R47" s="5" t="n"/>
    </row>
    <row r="48">
      <c r="A48" s="5" t="inlineStr">
        <is>
          <t>sa-sab-invest</t>
        </is>
      </c>
      <c r="B48" s="5" t="inlineStr">
        <is>
          <t>SAB Invest</t>
        </is>
      </c>
      <c r="C48" s="5" t="n"/>
      <c r="D48" s="5" t="n"/>
      <c r="E48" s="5" t="inlineStr">
        <is>
          <t>Outstanding (batch B13)</t>
        </is>
      </c>
      <c r="F48" s="5" t="inlineStr">
        <is>
          <t>Not researched</t>
        </is>
      </c>
      <c r="G48" s="5" t="inlineStr">
        <is>
          <t>Not researched</t>
        </is>
      </c>
      <c r="H48" s="5" t="inlineStr">
        <is>
          <t>Not researched</t>
        </is>
      </c>
      <c r="I48" s="5" t="inlineStr">
        <is>
          <t>Not researched</t>
        </is>
      </c>
      <c r="J48" s="5" t="inlineStr">
        <is>
          <t>Not researched</t>
        </is>
      </c>
      <c r="K48" s="5" t="inlineStr">
        <is>
          <t>Not researched</t>
        </is>
      </c>
      <c r="L48" s="5" t="inlineStr">
        <is>
          <t>Not researched</t>
        </is>
      </c>
      <c r="M48" s="5" t="inlineStr">
        <is>
          <t>Not researched</t>
        </is>
      </c>
      <c r="N48" s="5" t="n">
        <v>0</v>
      </c>
      <c r="O48" s="5" t="n">
        <v>0</v>
      </c>
      <c r="P48" s="5" t="n">
        <v>0</v>
      </c>
      <c r="Q48" s="5" t="n">
        <v>0</v>
      </c>
      <c r="R48" s="5" t="n"/>
    </row>
    <row r="49">
      <c r="A49" s="5" t="inlineStr">
        <is>
          <t>sa-bsf</t>
        </is>
      </c>
      <c r="B49" s="5" t="inlineStr">
        <is>
          <t>Banque Saudi Fransi</t>
        </is>
      </c>
      <c r="C49" s="5" t="n"/>
      <c r="D49" s="5" t="n"/>
      <c r="E49" s="5" t="inlineStr">
        <is>
          <t>Outstanding (batch B13)</t>
        </is>
      </c>
      <c r="F49" s="5" t="inlineStr">
        <is>
          <t>Not researched</t>
        </is>
      </c>
      <c r="G49" s="5" t="inlineStr">
        <is>
          <t>Not researched</t>
        </is>
      </c>
      <c r="H49" s="5" t="inlineStr">
        <is>
          <t>Not researched</t>
        </is>
      </c>
      <c r="I49" s="5" t="inlineStr">
        <is>
          <t>Not researched</t>
        </is>
      </c>
      <c r="J49" s="5" t="inlineStr">
        <is>
          <t>Not researched</t>
        </is>
      </c>
      <c r="K49" s="5" t="inlineStr">
        <is>
          <t>Not researched</t>
        </is>
      </c>
      <c r="L49" s="5" t="inlineStr">
        <is>
          <t>Not researched</t>
        </is>
      </c>
      <c r="M49" s="5" t="inlineStr">
        <is>
          <t>Not researched</t>
        </is>
      </c>
      <c r="N49" s="5" t="n">
        <v>0</v>
      </c>
      <c r="O49" s="5" t="n">
        <v>0</v>
      </c>
      <c r="P49" s="5" t="n">
        <v>0</v>
      </c>
      <c r="Q49" s="5" t="n">
        <v>0</v>
      </c>
      <c r="R49" s="5" t="n"/>
    </row>
    <row r="50">
      <c r="A50" s="5" t="inlineStr">
        <is>
          <t>sa-bsf-capital</t>
        </is>
      </c>
      <c r="B50" s="5" t="inlineStr">
        <is>
          <t>Saudi Fransi Capital</t>
        </is>
      </c>
      <c r="C50" s="5" t="n"/>
      <c r="D50" s="5" t="n"/>
      <c r="E50" s="5" t="inlineStr">
        <is>
          <t>Outstanding (batch B13)</t>
        </is>
      </c>
      <c r="F50" s="5" t="inlineStr">
        <is>
          <t>Not researched</t>
        </is>
      </c>
      <c r="G50" s="5" t="inlineStr">
        <is>
          <t>Not researched</t>
        </is>
      </c>
      <c r="H50" s="5" t="inlineStr">
        <is>
          <t>Not researched</t>
        </is>
      </c>
      <c r="I50" s="5" t="inlineStr">
        <is>
          <t>Not researched</t>
        </is>
      </c>
      <c r="J50" s="5" t="inlineStr">
        <is>
          <t>Not researched</t>
        </is>
      </c>
      <c r="K50" s="5" t="inlineStr">
        <is>
          <t>Not researched</t>
        </is>
      </c>
      <c r="L50" s="5" t="inlineStr">
        <is>
          <t>Not researched</t>
        </is>
      </c>
      <c r="M50" s="5" t="inlineStr">
        <is>
          <t>Not researched</t>
        </is>
      </c>
      <c r="N50" s="5" t="n">
        <v>0</v>
      </c>
      <c r="O50" s="5" t="n">
        <v>0</v>
      </c>
      <c r="P50" s="5" t="n">
        <v>0</v>
      </c>
      <c r="Q50" s="5" t="n">
        <v>0</v>
      </c>
      <c r="R50" s="5" t="n"/>
    </row>
    <row r="51">
      <c r="A51" s="5" t="inlineStr">
        <is>
          <t>sa-anb</t>
        </is>
      </c>
      <c r="B51" s="5" t="inlineStr">
        <is>
          <t>Arab National Bank</t>
        </is>
      </c>
      <c r="C51" s="5" t="n"/>
      <c r="D51" s="5" t="n"/>
      <c r="E51" s="5" t="inlineStr">
        <is>
          <t>Outstanding (batch B14)</t>
        </is>
      </c>
      <c r="F51" s="5" t="inlineStr">
        <is>
          <t>Not researched</t>
        </is>
      </c>
      <c r="G51" s="5" t="inlineStr">
        <is>
          <t>Not researched</t>
        </is>
      </c>
      <c r="H51" s="5" t="inlineStr">
        <is>
          <t>Not researched</t>
        </is>
      </c>
      <c r="I51" s="5" t="inlineStr">
        <is>
          <t>Not researched</t>
        </is>
      </c>
      <c r="J51" s="5" t="inlineStr">
        <is>
          <t>Not researched</t>
        </is>
      </c>
      <c r="K51" s="5" t="inlineStr">
        <is>
          <t>Not researched</t>
        </is>
      </c>
      <c r="L51" s="5" t="inlineStr">
        <is>
          <t>Not researched</t>
        </is>
      </c>
      <c r="M51" s="5" t="inlineStr">
        <is>
          <t>Not researched</t>
        </is>
      </c>
      <c r="N51" s="5" t="n">
        <v>0</v>
      </c>
      <c r="O51" s="5" t="n">
        <v>0</v>
      </c>
      <c r="P51" s="5" t="n">
        <v>0</v>
      </c>
      <c r="Q51" s="5" t="n">
        <v>0</v>
      </c>
      <c r="R51" s="5" t="n"/>
    </row>
    <row r="52">
      <c r="A52" s="5" t="inlineStr">
        <is>
          <t>sa-anb-capital</t>
        </is>
      </c>
      <c r="B52" s="5" t="inlineStr">
        <is>
          <t>ANB Capital</t>
        </is>
      </c>
      <c r="C52" s="5" t="n"/>
      <c r="D52" s="5" t="n"/>
      <c r="E52" s="5" t="inlineStr">
        <is>
          <t>Outstanding (batch B14)</t>
        </is>
      </c>
      <c r="F52" s="5" t="inlineStr">
        <is>
          <t>Not researched</t>
        </is>
      </c>
      <c r="G52" s="5" t="inlineStr">
        <is>
          <t>Not researched</t>
        </is>
      </c>
      <c r="H52" s="5" t="inlineStr">
        <is>
          <t>Not researched</t>
        </is>
      </c>
      <c r="I52" s="5" t="inlineStr">
        <is>
          <t>Not researched</t>
        </is>
      </c>
      <c r="J52" s="5" t="inlineStr">
        <is>
          <t>Not researched</t>
        </is>
      </c>
      <c r="K52" s="5" t="inlineStr">
        <is>
          <t>Not researched</t>
        </is>
      </c>
      <c r="L52" s="5" t="inlineStr">
        <is>
          <t>Not researched</t>
        </is>
      </c>
      <c r="M52" s="5" t="inlineStr">
        <is>
          <t>Not researched</t>
        </is>
      </c>
      <c r="N52" s="5" t="n">
        <v>0</v>
      </c>
      <c r="O52" s="5" t="n">
        <v>0</v>
      </c>
      <c r="P52" s="5" t="n">
        <v>0</v>
      </c>
      <c r="Q52" s="5" t="n">
        <v>0</v>
      </c>
      <c r="R52" s="5" t="n"/>
    </row>
    <row r="53">
      <c r="A53" s="5" t="inlineStr">
        <is>
          <t>sa-albilad</t>
        </is>
      </c>
      <c r="B53" s="5" t="inlineStr">
        <is>
          <t>Bank Albilad</t>
        </is>
      </c>
      <c r="C53" s="5" t="n"/>
      <c r="D53" s="5" t="n"/>
      <c r="E53" s="5" t="inlineStr">
        <is>
          <t>Outstanding (batch B14)</t>
        </is>
      </c>
      <c r="F53" s="5" t="inlineStr">
        <is>
          <t>Not researched</t>
        </is>
      </c>
      <c r="G53" s="5" t="inlineStr">
        <is>
          <t>Not researched</t>
        </is>
      </c>
      <c r="H53" s="5" t="inlineStr">
        <is>
          <t>Not researched</t>
        </is>
      </c>
      <c r="I53" s="5" t="inlineStr">
        <is>
          <t>Not researched</t>
        </is>
      </c>
      <c r="J53" s="5" t="inlineStr">
        <is>
          <t>Not researched</t>
        </is>
      </c>
      <c r="K53" s="5" t="inlineStr">
        <is>
          <t>Not researched</t>
        </is>
      </c>
      <c r="L53" s="5" t="inlineStr">
        <is>
          <t>Not researched</t>
        </is>
      </c>
      <c r="M53" s="5" t="inlineStr">
        <is>
          <t>Not researched</t>
        </is>
      </c>
      <c r="N53" s="5" t="n">
        <v>0</v>
      </c>
      <c r="O53" s="5" t="n">
        <v>0</v>
      </c>
      <c r="P53" s="5" t="n">
        <v>0</v>
      </c>
      <c r="Q53" s="5" t="n">
        <v>0</v>
      </c>
      <c r="R53" s="5" t="n"/>
    </row>
    <row r="54">
      <c r="A54" s="5" t="inlineStr">
        <is>
          <t>sa-albilad-capital</t>
        </is>
      </c>
      <c r="B54" s="5" t="inlineStr">
        <is>
          <t>Albilad Capital</t>
        </is>
      </c>
      <c r="C54" s="5" t="n"/>
      <c r="D54" s="5" t="n"/>
      <c r="E54" s="5" t="inlineStr">
        <is>
          <t>Outstanding (batch B14)</t>
        </is>
      </c>
      <c r="F54" s="5" t="inlineStr">
        <is>
          <t>Not researched</t>
        </is>
      </c>
      <c r="G54" s="5" t="inlineStr">
        <is>
          <t>Not researched</t>
        </is>
      </c>
      <c r="H54" s="5" t="inlineStr">
        <is>
          <t>Not researched</t>
        </is>
      </c>
      <c r="I54" s="5" t="inlineStr">
        <is>
          <t>Not researched</t>
        </is>
      </c>
      <c r="J54" s="5" t="inlineStr">
        <is>
          <t>Not researched</t>
        </is>
      </c>
      <c r="K54" s="5" t="inlineStr">
        <is>
          <t>Not researched</t>
        </is>
      </c>
      <c r="L54" s="5" t="inlineStr">
        <is>
          <t>Not researched</t>
        </is>
      </c>
      <c r="M54" s="5" t="inlineStr">
        <is>
          <t>Not researched</t>
        </is>
      </c>
      <c r="N54" s="5" t="n">
        <v>0</v>
      </c>
      <c r="O54" s="5" t="n">
        <v>0</v>
      </c>
      <c r="P54" s="5" t="n">
        <v>0</v>
      </c>
      <c r="Q54" s="5" t="n">
        <v>0</v>
      </c>
      <c r="R54" s="5" t="n"/>
    </row>
    <row r="55">
      <c r="A55" s="5" t="inlineStr">
        <is>
          <t>sa-aljazira</t>
        </is>
      </c>
      <c r="B55" s="5" t="inlineStr">
        <is>
          <t>Bank AlJazira</t>
        </is>
      </c>
      <c r="C55" s="5" t="n"/>
      <c r="D55" s="5" t="n"/>
      <c r="E55" s="5" t="inlineStr">
        <is>
          <t>Outstanding (batch B15)</t>
        </is>
      </c>
      <c r="F55" s="5" t="inlineStr">
        <is>
          <t>Not researched</t>
        </is>
      </c>
      <c r="G55" s="5" t="inlineStr">
        <is>
          <t>Not researched</t>
        </is>
      </c>
      <c r="H55" s="5" t="inlineStr">
        <is>
          <t>Not researched</t>
        </is>
      </c>
      <c r="I55" s="5" t="inlineStr">
        <is>
          <t>Not researched</t>
        </is>
      </c>
      <c r="J55" s="5" t="inlineStr">
        <is>
          <t>Not researched</t>
        </is>
      </c>
      <c r="K55" s="5" t="inlineStr">
        <is>
          <t>Not researched</t>
        </is>
      </c>
      <c r="L55" s="5" t="inlineStr">
        <is>
          <t>Not researched</t>
        </is>
      </c>
      <c r="M55" s="5" t="inlineStr">
        <is>
          <t>Not researched</t>
        </is>
      </c>
      <c r="N55" s="5" t="n">
        <v>0</v>
      </c>
      <c r="O55" s="5" t="n">
        <v>0</v>
      </c>
      <c r="P55" s="5" t="n">
        <v>0</v>
      </c>
      <c r="Q55" s="5" t="n">
        <v>0</v>
      </c>
      <c r="R55" s="5" t="n"/>
    </row>
    <row r="56">
      <c r="A56" s="5" t="inlineStr">
        <is>
          <t>sa-aljazira-capital</t>
        </is>
      </c>
      <c r="B56" s="5" t="inlineStr">
        <is>
          <t>Aljazira Capital</t>
        </is>
      </c>
      <c r="C56" s="5" t="n"/>
      <c r="D56" s="5" t="n"/>
      <c r="E56" s="5" t="inlineStr">
        <is>
          <t>Outstanding (batch B15)</t>
        </is>
      </c>
      <c r="F56" s="5" t="inlineStr">
        <is>
          <t>Not researched</t>
        </is>
      </c>
      <c r="G56" s="5" t="inlineStr">
        <is>
          <t>Not researched</t>
        </is>
      </c>
      <c r="H56" s="5" t="inlineStr">
        <is>
          <t>Not researched</t>
        </is>
      </c>
      <c r="I56" s="5" t="inlineStr">
        <is>
          <t>Not researched</t>
        </is>
      </c>
      <c r="J56" s="5" t="inlineStr">
        <is>
          <t>Not researched</t>
        </is>
      </c>
      <c r="K56" s="5" t="inlineStr">
        <is>
          <t>Not researched</t>
        </is>
      </c>
      <c r="L56" s="5" t="inlineStr">
        <is>
          <t>Not researched</t>
        </is>
      </c>
      <c r="M56" s="5" t="inlineStr">
        <is>
          <t>Not researched</t>
        </is>
      </c>
      <c r="N56" s="5" t="n">
        <v>0</v>
      </c>
      <c r="O56" s="5" t="n">
        <v>0</v>
      </c>
      <c r="P56" s="5" t="n">
        <v>0</v>
      </c>
      <c r="Q56" s="5" t="n">
        <v>0</v>
      </c>
      <c r="R56" s="5" t="n"/>
    </row>
    <row r="57">
      <c r="A57" s="5" t="inlineStr">
        <is>
          <t>sa-saib</t>
        </is>
      </c>
      <c r="B57" s="5" t="inlineStr">
        <is>
          <t>Saudi Investment Bank</t>
        </is>
      </c>
      <c r="C57" s="5" t="n"/>
      <c r="D57" s="5" t="n"/>
      <c r="E57" s="5" t="inlineStr">
        <is>
          <t>Outstanding (batch B15)</t>
        </is>
      </c>
      <c r="F57" s="5" t="inlineStr">
        <is>
          <t>Not researched</t>
        </is>
      </c>
      <c r="G57" s="5" t="inlineStr">
        <is>
          <t>Not researched</t>
        </is>
      </c>
      <c r="H57" s="5" t="inlineStr">
        <is>
          <t>Not researched</t>
        </is>
      </c>
      <c r="I57" s="5" t="inlineStr">
        <is>
          <t>Not researched</t>
        </is>
      </c>
      <c r="J57" s="5" t="inlineStr">
        <is>
          <t>Not researched</t>
        </is>
      </c>
      <c r="K57" s="5" t="inlineStr">
        <is>
          <t>Not researched</t>
        </is>
      </c>
      <c r="L57" s="5" t="inlineStr">
        <is>
          <t>Not researched</t>
        </is>
      </c>
      <c r="M57" s="5" t="inlineStr">
        <is>
          <t>Not researched</t>
        </is>
      </c>
      <c r="N57" s="5" t="n">
        <v>0</v>
      </c>
      <c r="O57" s="5" t="n">
        <v>0</v>
      </c>
      <c r="P57" s="5" t="n">
        <v>0</v>
      </c>
      <c r="Q57" s="5" t="n">
        <v>0</v>
      </c>
      <c r="R57" s="5" t="n"/>
    </row>
    <row r="58">
      <c r="A58" s="5" t="inlineStr">
        <is>
          <t>sa-alistithmar-capital</t>
        </is>
      </c>
      <c r="B58" s="5" t="inlineStr">
        <is>
          <t>Alistithmar Capital</t>
        </is>
      </c>
      <c r="C58" s="5" t="n"/>
      <c r="D58" s="5" t="n"/>
      <c r="E58" s="5" t="inlineStr">
        <is>
          <t>Outstanding (batch B15)</t>
        </is>
      </c>
      <c r="F58" s="5" t="inlineStr">
        <is>
          <t>Not researched</t>
        </is>
      </c>
      <c r="G58" s="5" t="inlineStr">
        <is>
          <t>Not researched</t>
        </is>
      </c>
      <c r="H58" s="5" t="inlineStr">
        <is>
          <t>Not researched</t>
        </is>
      </c>
      <c r="I58" s="5" t="inlineStr">
        <is>
          <t>Not researched</t>
        </is>
      </c>
      <c r="J58" s="5" t="inlineStr">
        <is>
          <t>Not researched</t>
        </is>
      </c>
      <c r="K58" s="5" t="inlineStr">
        <is>
          <t>Not researched</t>
        </is>
      </c>
      <c r="L58" s="5" t="inlineStr">
        <is>
          <t>Not researched</t>
        </is>
      </c>
      <c r="M58" s="5" t="inlineStr">
        <is>
          <t>Not researched</t>
        </is>
      </c>
      <c r="N58" s="5" t="n">
        <v>0</v>
      </c>
      <c r="O58" s="5" t="n">
        <v>0</v>
      </c>
      <c r="P58" s="5" t="n">
        <v>0</v>
      </c>
      <c r="Q58" s="5" t="n">
        <v>0</v>
      </c>
      <c r="R58" s="5" t="n"/>
    </row>
    <row r="59">
      <c r="A59" s="5" t="inlineStr">
        <is>
          <t>sa-stcbank</t>
        </is>
      </c>
      <c r="B59" s="5" t="inlineStr">
        <is>
          <t>STC Bank</t>
        </is>
      </c>
      <c r="C59" s="5" t="n"/>
      <c r="D59" s="5" t="n"/>
      <c r="E59" s="5" t="inlineStr">
        <is>
          <t>Outstanding (batch B16)</t>
        </is>
      </c>
      <c r="F59" s="5" t="inlineStr">
        <is>
          <t>Not researched</t>
        </is>
      </c>
      <c r="G59" s="5" t="inlineStr">
        <is>
          <t>Not researched</t>
        </is>
      </c>
      <c r="H59" s="5" t="inlineStr">
        <is>
          <t>Not researched</t>
        </is>
      </c>
      <c r="I59" s="5" t="inlineStr">
        <is>
          <t>Not researched</t>
        </is>
      </c>
      <c r="J59" s="5" t="inlineStr">
        <is>
          <t>Not researched</t>
        </is>
      </c>
      <c r="K59" s="5" t="inlineStr">
        <is>
          <t>Not researched</t>
        </is>
      </c>
      <c r="L59" s="5" t="inlineStr">
        <is>
          <t>Not researched</t>
        </is>
      </c>
      <c r="M59" s="5" t="inlineStr">
        <is>
          <t>Not researched</t>
        </is>
      </c>
      <c r="N59" s="5" t="n">
        <v>0</v>
      </c>
      <c r="O59" s="5" t="n">
        <v>0</v>
      </c>
      <c r="P59" s="5" t="n">
        <v>0</v>
      </c>
      <c r="Q59" s="5" t="n">
        <v>0</v>
      </c>
      <c r="R59" s="5" t="n"/>
    </row>
    <row r="60">
      <c r="A60" s="5" t="inlineStr">
        <is>
          <t>sa-d360</t>
        </is>
      </c>
      <c r="B60" s="5" t="inlineStr">
        <is>
          <t>D360 Bank</t>
        </is>
      </c>
      <c r="C60" s="5" t="n"/>
      <c r="D60" s="5" t="n"/>
      <c r="E60" s="5" t="inlineStr">
        <is>
          <t>Outstanding (batch B16)</t>
        </is>
      </c>
      <c r="F60" s="5" t="inlineStr">
        <is>
          <t>Not researched</t>
        </is>
      </c>
      <c r="G60" s="5" t="inlineStr">
        <is>
          <t>Not researched</t>
        </is>
      </c>
      <c r="H60" s="5" t="inlineStr">
        <is>
          <t>Not researched</t>
        </is>
      </c>
      <c r="I60" s="5" t="inlineStr">
        <is>
          <t>Not researched</t>
        </is>
      </c>
      <c r="J60" s="5" t="inlineStr">
        <is>
          <t>Not researched</t>
        </is>
      </c>
      <c r="K60" s="5" t="inlineStr">
        <is>
          <t>Not researched</t>
        </is>
      </c>
      <c r="L60" s="5" t="inlineStr">
        <is>
          <t>Not researched</t>
        </is>
      </c>
      <c r="M60" s="5" t="inlineStr">
        <is>
          <t>Not researched</t>
        </is>
      </c>
      <c r="N60" s="5" t="n">
        <v>0</v>
      </c>
      <c r="O60" s="5" t="n">
        <v>0</v>
      </c>
      <c r="P60" s="5" t="n">
        <v>0</v>
      </c>
      <c r="Q60" s="5" t="n">
        <v>0</v>
      </c>
      <c r="R60" s="5" t="n"/>
    </row>
    <row r="61">
      <c r="A61" s="5" t="inlineStr">
        <is>
          <t>sa-visionbank</t>
        </is>
      </c>
      <c r="B61" s="5" t="inlineStr">
        <is>
          <t>Vision Bank</t>
        </is>
      </c>
      <c r="C61" s="5" t="n"/>
      <c r="D61" s="5" t="n"/>
      <c r="E61" s="5" t="inlineStr">
        <is>
          <t>Outstanding (batch B16)</t>
        </is>
      </c>
      <c r="F61" s="5" t="inlineStr">
        <is>
          <t>Not researched</t>
        </is>
      </c>
      <c r="G61" s="5" t="inlineStr">
        <is>
          <t>Not researched</t>
        </is>
      </c>
      <c r="H61" s="5" t="inlineStr">
        <is>
          <t>Not researched</t>
        </is>
      </c>
      <c r="I61" s="5" t="inlineStr">
        <is>
          <t>Not researched</t>
        </is>
      </c>
      <c r="J61" s="5" t="inlineStr">
        <is>
          <t>Not researched</t>
        </is>
      </c>
      <c r="K61" s="5" t="inlineStr">
        <is>
          <t>Not researched</t>
        </is>
      </c>
      <c r="L61" s="5" t="inlineStr">
        <is>
          <t>Not researched</t>
        </is>
      </c>
      <c r="M61" s="5" t="inlineStr">
        <is>
          <t>Not researched</t>
        </is>
      </c>
      <c r="N61" s="5" t="n">
        <v>0</v>
      </c>
      <c r="O61" s="5" t="n">
        <v>0</v>
      </c>
      <c r="P61" s="5" t="n">
        <v>0</v>
      </c>
      <c r="Q61" s="5" t="n">
        <v>0</v>
      </c>
      <c r="R61" s="5" t="n"/>
    </row>
    <row r="62">
      <c r="A62" s="5" t="inlineStr">
        <is>
          <t>sa-derayah</t>
        </is>
      </c>
      <c r="B62" s="5" t="inlineStr">
        <is>
          <t>Derayah Financial</t>
        </is>
      </c>
      <c r="C62" s="5" t="n"/>
      <c r="D62" s="5" t="n"/>
      <c r="E62" s="5" t="inlineStr">
        <is>
          <t>Outstanding (batch B17)</t>
        </is>
      </c>
      <c r="F62" s="5" t="inlineStr">
        <is>
          <t>Not researched</t>
        </is>
      </c>
      <c r="G62" s="5" t="inlineStr">
        <is>
          <t>Not researched</t>
        </is>
      </c>
      <c r="H62" s="5" t="inlineStr">
        <is>
          <t>Not researched</t>
        </is>
      </c>
      <c r="I62" s="5" t="inlineStr">
        <is>
          <t>Not researched</t>
        </is>
      </c>
      <c r="J62" s="5" t="inlineStr">
        <is>
          <t>Not researched</t>
        </is>
      </c>
      <c r="K62" s="5" t="inlineStr">
        <is>
          <t>Not researched</t>
        </is>
      </c>
      <c r="L62" s="5" t="inlineStr">
        <is>
          <t>Not researched</t>
        </is>
      </c>
      <c r="M62" s="5" t="inlineStr">
        <is>
          <t>Not researched</t>
        </is>
      </c>
      <c r="N62" s="5" t="n">
        <v>0</v>
      </c>
      <c r="O62" s="5" t="n">
        <v>0</v>
      </c>
      <c r="P62" s="5" t="n">
        <v>0</v>
      </c>
      <c r="Q62" s="5" t="n">
        <v>0</v>
      </c>
      <c r="R62" s="5" t="n"/>
    </row>
    <row r="63">
      <c r="A63" s="5" t="inlineStr">
        <is>
          <t>sa-sahm</t>
        </is>
      </c>
      <c r="B63" s="5" t="inlineStr">
        <is>
          <t>Sahm Capital</t>
        </is>
      </c>
      <c r="C63" s="5" t="n"/>
      <c r="D63" s="5" t="n"/>
      <c r="E63" s="5" t="inlineStr">
        <is>
          <t>Outstanding (batch B17)</t>
        </is>
      </c>
      <c r="F63" s="5" t="inlineStr">
        <is>
          <t>Not researched</t>
        </is>
      </c>
      <c r="G63" s="5" t="inlineStr">
        <is>
          <t>Not researched</t>
        </is>
      </c>
      <c r="H63" s="5" t="inlineStr">
        <is>
          <t>Not researched</t>
        </is>
      </c>
      <c r="I63" s="5" t="inlineStr">
        <is>
          <t>Not researched</t>
        </is>
      </c>
      <c r="J63" s="5" t="inlineStr">
        <is>
          <t>Not researched</t>
        </is>
      </c>
      <c r="K63" s="5" t="inlineStr">
        <is>
          <t>Not researched</t>
        </is>
      </c>
      <c r="L63" s="5" t="inlineStr">
        <is>
          <t>Not researched</t>
        </is>
      </c>
      <c r="M63" s="5" t="inlineStr">
        <is>
          <t>Not researched</t>
        </is>
      </c>
      <c r="N63" s="5" t="n">
        <v>0</v>
      </c>
      <c r="O63" s="5" t="n">
        <v>0</v>
      </c>
      <c r="P63" s="5" t="n">
        <v>0</v>
      </c>
      <c r="Q63" s="5" t="n">
        <v>0</v>
      </c>
      <c r="R63" s="5" t="n"/>
    </row>
    <row r="64">
      <c r="A64" s="5" t="inlineStr">
        <is>
          <t>sa-abyan</t>
        </is>
      </c>
      <c r="B64" s="5" t="inlineStr">
        <is>
          <t>Abyan Capital</t>
        </is>
      </c>
      <c r="C64" s="5" t="n"/>
      <c r="D64" s="5" t="n"/>
      <c r="E64" s="5" t="inlineStr">
        <is>
          <t>Outstanding (batch B17)</t>
        </is>
      </c>
      <c r="F64" s="5" t="inlineStr">
        <is>
          <t>Not researched</t>
        </is>
      </c>
      <c r="G64" s="5" t="inlineStr">
        <is>
          <t>Not researched</t>
        </is>
      </c>
      <c r="H64" s="5" t="inlineStr">
        <is>
          <t>Not researched</t>
        </is>
      </c>
      <c r="I64" s="5" t="inlineStr">
        <is>
          <t>Not researched</t>
        </is>
      </c>
      <c r="J64" s="5" t="inlineStr">
        <is>
          <t>Not researched</t>
        </is>
      </c>
      <c r="K64" s="5" t="inlineStr">
        <is>
          <t>Not researched</t>
        </is>
      </c>
      <c r="L64" s="5" t="inlineStr">
        <is>
          <t>Not researched</t>
        </is>
      </c>
      <c r="M64" s="5" t="inlineStr">
        <is>
          <t>Not researched</t>
        </is>
      </c>
      <c r="N64" s="5" t="n">
        <v>0</v>
      </c>
      <c r="O64" s="5" t="n">
        <v>0</v>
      </c>
      <c r="P64" s="5" t="n">
        <v>0</v>
      </c>
      <c r="Q64" s="5" t="n">
        <v>0</v>
      </c>
      <c r="R64" s="5" t="n"/>
    </row>
    <row r="65">
      <c r="A65" s="5" t="inlineStr">
        <is>
          <t>sa-jadwa</t>
        </is>
      </c>
      <c r="B65" s="5" t="inlineStr">
        <is>
          <t>Jadwa Investment</t>
        </is>
      </c>
      <c r="C65" s="5" t="n"/>
      <c r="D65" s="5" t="n"/>
      <c r="E65" s="5" t="inlineStr">
        <is>
          <t>Outstanding (batch B18)</t>
        </is>
      </c>
      <c r="F65" s="5" t="inlineStr">
        <is>
          <t>Not researched</t>
        </is>
      </c>
      <c r="G65" s="5" t="inlineStr">
        <is>
          <t>Not researched</t>
        </is>
      </c>
      <c r="H65" s="5" t="inlineStr">
        <is>
          <t>Not researched</t>
        </is>
      </c>
      <c r="I65" s="5" t="inlineStr">
        <is>
          <t>Not researched</t>
        </is>
      </c>
      <c r="J65" s="5" t="inlineStr">
        <is>
          <t>Not researched</t>
        </is>
      </c>
      <c r="K65" s="5" t="inlineStr">
        <is>
          <t>Not researched</t>
        </is>
      </c>
      <c r="L65" s="5" t="inlineStr">
        <is>
          <t>Not researched</t>
        </is>
      </c>
      <c r="M65" s="5" t="inlineStr">
        <is>
          <t>Not researched</t>
        </is>
      </c>
      <c r="N65" s="5" t="n">
        <v>0</v>
      </c>
      <c r="O65" s="5" t="n">
        <v>0</v>
      </c>
      <c r="P65" s="5" t="n">
        <v>0</v>
      </c>
      <c r="Q65" s="5" t="n">
        <v>0</v>
      </c>
      <c r="R65" s="5" t="n"/>
    </row>
    <row r="66">
      <c r="A66" s="5" t="inlineStr">
        <is>
          <t>sa-alkhabeer</t>
        </is>
      </c>
      <c r="B66" s="5" t="inlineStr">
        <is>
          <t>Alkhabeer Capital</t>
        </is>
      </c>
      <c r="C66" s="5" t="n"/>
      <c r="D66" s="5" t="n"/>
      <c r="E66" s="5" t="inlineStr">
        <is>
          <t>Outstanding (batch B18)</t>
        </is>
      </c>
      <c r="F66" s="5" t="inlineStr">
        <is>
          <t>Not researched</t>
        </is>
      </c>
      <c r="G66" s="5" t="inlineStr">
        <is>
          <t>Not researched</t>
        </is>
      </c>
      <c r="H66" s="5" t="inlineStr">
        <is>
          <t>Not researched</t>
        </is>
      </c>
      <c r="I66" s="5" t="inlineStr">
        <is>
          <t>Not researched</t>
        </is>
      </c>
      <c r="J66" s="5" t="inlineStr">
        <is>
          <t>Not researched</t>
        </is>
      </c>
      <c r="K66" s="5" t="inlineStr">
        <is>
          <t>Not researched</t>
        </is>
      </c>
      <c r="L66" s="5" t="inlineStr">
        <is>
          <t>Not researched</t>
        </is>
      </c>
      <c r="M66" s="5" t="inlineStr">
        <is>
          <t>Not researched</t>
        </is>
      </c>
      <c r="N66" s="5" t="n">
        <v>0</v>
      </c>
      <c r="O66" s="5" t="n">
        <v>0</v>
      </c>
      <c r="P66" s="5" t="n">
        <v>0</v>
      </c>
      <c r="Q66" s="5" t="n">
        <v>0</v>
      </c>
      <c r="R66" s="5" t="n"/>
    </row>
    <row r="67">
      <c r="A67" s="5" t="inlineStr">
        <is>
          <t>sa-sedco</t>
        </is>
      </c>
      <c r="B67" s="5" t="inlineStr">
        <is>
          <t>SEDCO Capital</t>
        </is>
      </c>
      <c r="C67" s="5" t="n"/>
      <c r="D67" s="5" t="n"/>
      <c r="E67" s="5" t="inlineStr">
        <is>
          <t>Outstanding (batch B18)</t>
        </is>
      </c>
      <c r="F67" s="5" t="inlineStr">
        <is>
          <t>Not researched</t>
        </is>
      </c>
      <c r="G67" s="5" t="inlineStr">
        <is>
          <t>Not researched</t>
        </is>
      </c>
      <c r="H67" s="5" t="inlineStr">
        <is>
          <t>Not researched</t>
        </is>
      </c>
      <c r="I67" s="5" t="inlineStr">
        <is>
          <t>Not researched</t>
        </is>
      </c>
      <c r="J67" s="5" t="inlineStr">
        <is>
          <t>Not researched</t>
        </is>
      </c>
      <c r="K67" s="5" t="inlineStr">
        <is>
          <t>Not researched</t>
        </is>
      </c>
      <c r="L67" s="5" t="inlineStr">
        <is>
          <t>Not researched</t>
        </is>
      </c>
      <c r="M67" s="5" t="inlineStr">
        <is>
          <t>Not researched</t>
        </is>
      </c>
      <c r="N67" s="5" t="n">
        <v>0</v>
      </c>
      <c r="O67" s="5" t="n">
        <v>0</v>
      </c>
      <c r="P67" s="5" t="n">
        <v>0</v>
      </c>
      <c r="Q67" s="5" t="n">
        <v>0</v>
      </c>
      <c r="R67" s="5" t="n"/>
    </row>
    <row r="68">
      <c r="A68" s="5" t="inlineStr">
        <is>
          <t>qa-qnb</t>
        </is>
      </c>
      <c r="B68" s="5" t="inlineStr">
        <is>
          <t>QNB Group</t>
        </is>
      </c>
      <c r="C68" s="5" t="n"/>
      <c r="D68" s="5" t="n"/>
      <c r="E68" s="5" t="inlineStr">
        <is>
          <t>Outstanding (batch B19)</t>
        </is>
      </c>
      <c r="F68" s="5" t="inlineStr">
        <is>
          <t>Not researched</t>
        </is>
      </c>
      <c r="G68" s="5" t="inlineStr">
        <is>
          <t>Not researched</t>
        </is>
      </c>
      <c r="H68" s="5" t="inlineStr">
        <is>
          <t>Not researched</t>
        </is>
      </c>
      <c r="I68" s="5" t="inlineStr">
        <is>
          <t>Not researched</t>
        </is>
      </c>
      <c r="J68" s="5" t="inlineStr">
        <is>
          <t>Not researched</t>
        </is>
      </c>
      <c r="K68" s="5" t="inlineStr">
        <is>
          <t>Not researched</t>
        </is>
      </c>
      <c r="L68" s="5" t="inlineStr">
        <is>
          <t>Not researched</t>
        </is>
      </c>
      <c r="M68" s="5" t="inlineStr">
        <is>
          <t>Not researched</t>
        </is>
      </c>
      <c r="N68" s="5" t="n">
        <v>0</v>
      </c>
      <c r="O68" s="5" t="n">
        <v>0</v>
      </c>
      <c r="P68" s="5" t="n">
        <v>0</v>
      </c>
      <c r="Q68" s="5" t="n">
        <v>0</v>
      </c>
      <c r="R68" s="5" t="n"/>
    </row>
    <row r="69">
      <c r="A69" s="5" t="inlineStr">
        <is>
          <t>qa-qib</t>
        </is>
      </c>
      <c r="B69" s="5" t="inlineStr">
        <is>
          <t>Qatar Islamic Bank</t>
        </is>
      </c>
      <c r="C69" s="5" t="n"/>
      <c r="D69" s="5" t="n"/>
      <c r="E69" s="5" t="inlineStr">
        <is>
          <t>Outstanding (batch B19)</t>
        </is>
      </c>
      <c r="F69" s="5" t="inlineStr">
        <is>
          <t>Not researched</t>
        </is>
      </c>
      <c r="G69" s="5" t="inlineStr">
        <is>
          <t>Not researched</t>
        </is>
      </c>
      <c r="H69" s="5" t="inlineStr">
        <is>
          <t>Not researched</t>
        </is>
      </c>
      <c r="I69" s="5" t="inlineStr">
        <is>
          <t>Not researched</t>
        </is>
      </c>
      <c r="J69" s="5" t="inlineStr">
        <is>
          <t>Not researched</t>
        </is>
      </c>
      <c r="K69" s="5" t="inlineStr">
        <is>
          <t>Not researched</t>
        </is>
      </c>
      <c r="L69" s="5" t="inlineStr">
        <is>
          <t>Not researched</t>
        </is>
      </c>
      <c r="M69" s="5" t="inlineStr">
        <is>
          <t>Not researched</t>
        </is>
      </c>
      <c r="N69" s="5" t="n">
        <v>0</v>
      </c>
      <c r="O69" s="5" t="n">
        <v>0</v>
      </c>
      <c r="P69" s="5" t="n">
        <v>0</v>
      </c>
      <c r="Q69" s="5" t="n">
        <v>0</v>
      </c>
      <c r="R69" s="5" t="n"/>
    </row>
    <row r="70">
      <c r="A70" s="5" t="inlineStr">
        <is>
          <t>qa-cbq</t>
        </is>
      </c>
      <c r="B70" s="5" t="inlineStr">
        <is>
          <t>Commercial Bank (Qatar)</t>
        </is>
      </c>
      <c r="C70" s="5" t="n"/>
      <c r="D70" s="5" t="n"/>
      <c r="E70" s="5" t="inlineStr">
        <is>
          <t>Outstanding (batch B20)</t>
        </is>
      </c>
      <c r="F70" s="5" t="inlineStr">
        <is>
          <t>Not researched</t>
        </is>
      </c>
      <c r="G70" s="5" t="inlineStr">
        <is>
          <t>Not researched</t>
        </is>
      </c>
      <c r="H70" s="5" t="inlineStr">
        <is>
          <t>Not researched</t>
        </is>
      </c>
      <c r="I70" s="5" t="inlineStr">
        <is>
          <t>Not researched</t>
        </is>
      </c>
      <c r="J70" s="5" t="inlineStr">
        <is>
          <t>Not researched</t>
        </is>
      </c>
      <c r="K70" s="5" t="inlineStr">
        <is>
          <t>Not researched</t>
        </is>
      </c>
      <c r="L70" s="5" t="inlineStr">
        <is>
          <t>Not researched</t>
        </is>
      </c>
      <c r="M70" s="5" t="inlineStr">
        <is>
          <t>Not researched</t>
        </is>
      </c>
      <c r="N70" s="5" t="n">
        <v>0</v>
      </c>
      <c r="O70" s="5" t="n">
        <v>0</v>
      </c>
      <c r="P70" s="5" t="n">
        <v>0</v>
      </c>
      <c r="Q70" s="5" t="n">
        <v>0</v>
      </c>
      <c r="R70" s="5" t="n"/>
    </row>
    <row r="71">
      <c r="A71" s="5" t="inlineStr">
        <is>
          <t>qa-dohabank</t>
        </is>
      </c>
      <c r="B71" s="5" t="inlineStr">
        <is>
          <t>Doha Bank</t>
        </is>
      </c>
      <c r="C71" s="5" t="n"/>
      <c r="D71" s="5" t="n"/>
      <c r="E71" s="5" t="inlineStr">
        <is>
          <t>Outstanding (batch B20)</t>
        </is>
      </c>
      <c r="F71" s="5" t="inlineStr">
        <is>
          <t>Not researched</t>
        </is>
      </c>
      <c r="G71" s="5" t="inlineStr">
        <is>
          <t>Not researched</t>
        </is>
      </c>
      <c r="H71" s="5" t="inlineStr">
        <is>
          <t>Not researched</t>
        </is>
      </c>
      <c r="I71" s="5" t="inlineStr">
        <is>
          <t>Not researched</t>
        </is>
      </c>
      <c r="J71" s="5" t="inlineStr">
        <is>
          <t>Not researched</t>
        </is>
      </c>
      <c r="K71" s="5" t="inlineStr">
        <is>
          <t>Not researched</t>
        </is>
      </c>
      <c r="L71" s="5" t="inlineStr">
        <is>
          <t>Not researched</t>
        </is>
      </c>
      <c r="M71" s="5" t="inlineStr">
        <is>
          <t>Not researched</t>
        </is>
      </c>
      <c r="N71" s="5" t="n">
        <v>0</v>
      </c>
      <c r="O71" s="5" t="n">
        <v>0</v>
      </c>
      <c r="P71" s="5" t="n">
        <v>0</v>
      </c>
      <c r="Q71" s="5" t="n">
        <v>0</v>
      </c>
      <c r="R71" s="5" t="n"/>
    </row>
    <row r="72">
      <c r="A72" s="5" t="inlineStr">
        <is>
          <t>qa-mar</t>
        </is>
      </c>
      <c r="B72" s="5" t="inlineStr">
        <is>
          <t>Masraf Al Rayan</t>
        </is>
      </c>
      <c r="C72" s="5" t="n"/>
      <c r="D72" s="5" t="n"/>
      <c r="E72" s="5" t="inlineStr">
        <is>
          <t>Outstanding (batch B20)</t>
        </is>
      </c>
      <c r="F72" s="5" t="inlineStr">
        <is>
          <t>Not researched</t>
        </is>
      </c>
      <c r="G72" s="5" t="inlineStr">
        <is>
          <t>Not researched</t>
        </is>
      </c>
      <c r="H72" s="5" t="inlineStr">
        <is>
          <t>Not researched</t>
        </is>
      </c>
      <c r="I72" s="5" t="inlineStr">
        <is>
          <t>Not researched</t>
        </is>
      </c>
      <c r="J72" s="5" t="inlineStr">
        <is>
          <t>Not researched</t>
        </is>
      </c>
      <c r="K72" s="5" t="inlineStr">
        <is>
          <t>Not researched</t>
        </is>
      </c>
      <c r="L72" s="5" t="inlineStr">
        <is>
          <t>Not researched</t>
        </is>
      </c>
      <c r="M72" s="5" t="inlineStr">
        <is>
          <t>Not researched</t>
        </is>
      </c>
      <c r="N72" s="5" t="n">
        <v>0</v>
      </c>
      <c r="O72" s="5" t="n">
        <v>0</v>
      </c>
      <c r="P72" s="5" t="n">
        <v>0</v>
      </c>
      <c r="Q72" s="5" t="n">
        <v>0</v>
      </c>
      <c r="R72" s="5" t="n"/>
    </row>
    <row r="73">
      <c r="A73" s="5" t="inlineStr">
        <is>
          <t>qa-dukhan</t>
        </is>
      </c>
      <c r="B73" s="5" t="inlineStr">
        <is>
          <t>Dukhan Bank</t>
        </is>
      </c>
      <c r="C73" s="5" t="n"/>
      <c r="D73" s="5" t="n"/>
      <c r="E73" s="5" t="inlineStr">
        <is>
          <t>Outstanding (batch B21)</t>
        </is>
      </c>
      <c r="F73" s="5" t="inlineStr">
        <is>
          <t>Not researched</t>
        </is>
      </c>
      <c r="G73" s="5" t="inlineStr">
        <is>
          <t>Not researched</t>
        </is>
      </c>
      <c r="H73" s="5" t="inlineStr">
        <is>
          <t>Not researched</t>
        </is>
      </c>
      <c r="I73" s="5" t="inlineStr">
        <is>
          <t>Not researched</t>
        </is>
      </c>
      <c r="J73" s="5" t="inlineStr">
        <is>
          <t>Not researched</t>
        </is>
      </c>
      <c r="K73" s="5" t="inlineStr">
        <is>
          <t>Not researched</t>
        </is>
      </c>
      <c r="L73" s="5" t="inlineStr">
        <is>
          <t>Not researched</t>
        </is>
      </c>
      <c r="M73" s="5" t="inlineStr">
        <is>
          <t>Not researched</t>
        </is>
      </c>
      <c r="N73" s="5" t="n">
        <v>0</v>
      </c>
      <c r="O73" s="5" t="n">
        <v>0</v>
      </c>
      <c r="P73" s="5" t="n">
        <v>0</v>
      </c>
      <c r="Q73" s="5" t="n">
        <v>0</v>
      </c>
      <c r="R73" s="5" t="n"/>
    </row>
    <row r="74">
      <c r="A74" s="5" t="inlineStr">
        <is>
          <t>qa-ahlibank</t>
        </is>
      </c>
      <c r="B74" s="5" t="inlineStr">
        <is>
          <t>Ahlibank (Qatar)</t>
        </is>
      </c>
      <c r="C74" s="5" t="n"/>
      <c r="D74" s="5" t="n"/>
      <c r="E74" s="5" t="inlineStr">
        <is>
          <t>Outstanding (batch B21)</t>
        </is>
      </c>
      <c r="F74" s="5" t="inlineStr">
        <is>
          <t>Not researched</t>
        </is>
      </c>
      <c r="G74" s="5" t="inlineStr">
        <is>
          <t>Not researched</t>
        </is>
      </c>
      <c r="H74" s="5" t="inlineStr">
        <is>
          <t>Not researched</t>
        </is>
      </c>
      <c r="I74" s="5" t="inlineStr">
        <is>
          <t>Not researched</t>
        </is>
      </c>
      <c r="J74" s="5" t="inlineStr">
        <is>
          <t>Not researched</t>
        </is>
      </c>
      <c r="K74" s="5" t="inlineStr">
        <is>
          <t>Not researched</t>
        </is>
      </c>
      <c r="L74" s="5" t="inlineStr">
        <is>
          <t>Not researched</t>
        </is>
      </c>
      <c r="M74" s="5" t="inlineStr">
        <is>
          <t>Not researched</t>
        </is>
      </c>
      <c r="N74" s="5" t="n">
        <v>0</v>
      </c>
      <c r="O74" s="5" t="n">
        <v>0</v>
      </c>
      <c r="P74" s="5" t="n">
        <v>0</v>
      </c>
      <c r="Q74" s="5" t="n">
        <v>0</v>
      </c>
      <c r="R74" s="5" t="n"/>
    </row>
    <row r="75">
      <c r="A75" s="5" t="inlineStr">
        <is>
          <t>qa-qiib</t>
        </is>
      </c>
      <c r="B75" s="5" t="inlineStr">
        <is>
          <t>Qatar International Islamic Bank</t>
        </is>
      </c>
      <c r="C75" s="5" t="n"/>
      <c r="D75" s="5" t="n"/>
      <c r="E75" s="5" t="inlineStr">
        <is>
          <t>Outstanding (batch B21)</t>
        </is>
      </c>
      <c r="F75" s="5" t="inlineStr">
        <is>
          <t>Not researched</t>
        </is>
      </c>
      <c r="G75" s="5" t="inlineStr">
        <is>
          <t>Not researched</t>
        </is>
      </c>
      <c r="H75" s="5" t="inlineStr">
        <is>
          <t>Not researched</t>
        </is>
      </c>
      <c r="I75" s="5" t="inlineStr">
        <is>
          <t>Not researched</t>
        </is>
      </c>
      <c r="J75" s="5" t="inlineStr">
        <is>
          <t>Not researched</t>
        </is>
      </c>
      <c r="K75" s="5" t="inlineStr">
        <is>
          <t>Not researched</t>
        </is>
      </c>
      <c r="L75" s="5" t="inlineStr">
        <is>
          <t>Not researched</t>
        </is>
      </c>
      <c r="M75" s="5" t="inlineStr">
        <is>
          <t>Not researched</t>
        </is>
      </c>
      <c r="N75" s="5" t="n">
        <v>0</v>
      </c>
      <c r="O75" s="5" t="n">
        <v>0</v>
      </c>
      <c r="P75" s="5" t="n">
        <v>0</v>
      </c>
      <c r="Q75" s="5" t="n">
        <v>0</v>
      </c>
      <c r="R75" s="5" t="n"/>
    </row>
    <row r="76">
      <c r="A76" s="5" t="inlineStr">
        <is>
          <t>qa-lesha</t>
        </is>
      </c>
      <c r="B76" s="5" t="inlineStr">
        <is>
          <t>Lesha Bank</t>
        </is>
      </c>
      <c r="C76" s="5" t="n"/>
      <c r="D76" s="5" t="n"/>
      <c r="E76" s="5" t="inlineStr">
        <is>
          <t>Outstanding (batch B21)</t>
        </is>
      </c>
      <c r="F76" s="5" t="inlineStr">
        <is>
          <t>Not researched</t>
        </is>
      </c>
      <c r="G76" s="5" t="inlineStr">
        <is>
          <t>Not researched</t>
        </is>
      </c>
      <c r="H76" s="5" t="inlineStr">
        <is>
          <t>Not researched</t>
        </is>
      </c>
      <c r="I76" s="5" t="inlineStr">
        <is>
          <t>Not researched</t>
        </is>
      </c>
      <c r="J76" s="5" t="inlineStr">
        <is>
          <t>Not researched</t>
        </is>
      </c>
      <c r="K76" s="5" t="inlineStr">
        <is>
          <t>Not researched</t>
        </is>
      </c>
      <c r="L76" s="5" t="inlineStr">
        <is>
          <t>Not researched</t>
        </is>
      </c>
      <c r="M76" s="5" t="inlineStr">
        <is>
          <t>Not researched</t>
        </is>
      </c>
      <c r="N76" s="5" t="n">
        <v>0</v>
      </c>
      <c r="O76" s="5" t="n">
        <v>0</v>
      </c>
      <c r="P76" s="5" t="n">
        <v>0</v>
      </c>
      <c r="Q76" s="5" t="n">
        <v>0</v>
      </c>
      <c r="R76" s="5" t="n"/>
    </row>
    <row r="77">
      <c r="A77" s="5" t="inlineStr">
        <is>
          <t>qa-qinvest</t>
        </is>
      </c>
      <c r="B77" s="5" t="inlineStr">
        <is>
          <t>QInvest</t>
        </is>
      </c>
      <c r="C77" s="5" t="n"/>
      <c r="D77" s="5" t="n"/>
      <c r="E77" s="5" t="inlineStr">
        <is>
          <t>Outstanding (batch B22)</t>
        </is>
      </c>
      <c r="F77" s="5" t="inlineStr">
        <is>
          <t>Not researched</t>
        </is>
      </c>
      <c r="G77" s="5" t="inlineStr">
        <is>
          <t>Not researched</t>
        </is>
      </c>
      <c r="H77" s="5" t="inlineStr">
        <is>
          <t>Not researched</t>
        </is>
      </c>
      <c r="I77" s="5" t="inlineStr">
        <is>
          <t>Not researched</t>
        </is>
      </c>
      <c r="J77" s="5" t="inlineStr">
        <is>
          <t>Not researched</t>
        </is>
      </c>
      <c r="K77" s="5" t="inlineStr">
        <is>
          <t>Not researched</t>
        </is>
      </c>
      <c r="L77" s="5" t="inlineStr">
        <is>
          <t>Not researched</t>
        </is>
      </c>
      <c r="M77" s="5" t="inlineStr">
        <is>
          <t>Not researched</t>
        </is>
      </c>
      <c r="N77" s="5" t="n">
        <v>0</v>
      </c>
      <c r="O77" s="5" t="n">
        <v>0</v>
      </c>
      <c r="P77" s="5" t="n">
        <v>0</v>
      </c>
      <c r="Q77" s="5" t="n">
        <v>0</v>
      </c>
      <c r="R77" s="5" t="n"/>
    </row>
    <row r="78">
      <c r="A78" s="5" t="inlineStr">
        <is>
          <t>qa-dlala</t>
        </is>
      </c>
      <c r="B78" s="5" t="inlineStr">
        <is>
          <t>Dlala Brokerage and Investment Holding</t>
        </is>
      </c>
      <c r="C78" s="5" t="n"/>
      <c r="D78" s="5" t="n"/>
      <c r="E78" s="5" t="inlineStr">
        <is>
          <t>Outstanding (batch B22)</t>
        </is>
      </c>
      <c r="F78" s="5" t="inlineStr">
        <is>
          <t>Not researched</t>
        </is>
      </c>
      <c r="G78" s="5" t="inlineStr">
        <is>
          <t>Not researched</t>
        </is>
      </c>
      <c r="H78" s="5" t="inlineStr">
        <is>
          <t>Not researched</t>
        </is>
      </c>
      <c r="I78" s="5" t="inlineStr">
        <is>
          <t>Not researched</t>
        </is>
      </c>
      <c r="J78" s="5" t="inlineStr">
        <is>
          <t>Not researched</t>
        </is>
      </c>
      <c r="K78" s="5" t="inlineStr">
        <is>
          <t>Not researched</t>
        </is>
      </c>
      <c r="L78" s="5" t="inlineStr">
        <is>
          <t>Not researched</t>
        </is>
      </c>
      <c r="M78" s="5" t="inlineStr">
        <is>
          <t>Not researched</t>
        </is>
      </c>
      <c r="N78" s="5" t="n">
        <v>0</v>
      </c>
      <c r="O78" s="5" t="n">
        <v>0</v>
      </c>
      <c r="P78" s="5" t="n">
        <v>0</v>
      </c>
      <c r="Q78" s="5" t="n">
        <v>0</v>
      </c>
      <c r="R78" s="5" t="n"/>
    </row>
    <row r="79">
      <c r="A79" s="5" t="inlineStr">
        <is>
          <t>bh-investcorp</t>
        </is>
      </c>
      <c r="B79" s="5" t="inlineStr">
        <is>
          <t>Investcorp</t>
        </is>
      </c>
      <c r="C79" s="5" t="n"/>
      <c r="D79" s="5" t="n"/>
      <c r="E79" s="5" t="inlineStr">
        <is>
          <t>Outstanding (batch B22)</t>
        </is>
      </c>
      <c r="F79" s="5" t="inlineStr">
        <is>
          <t>Not researched</t>
        </is>
      </c>
      <c r="G79" s="5" t="inlineStr">
        <is>
          <t>Not researched</t>
        </is>
      </c>
      <c r="H79" s="5" t="inlineStr">
        <is>
          <t>Not researched</t>
        </is>
      </c>
      <c r="I79" s="5" t="inlineStr">
        <is>
          <t>Not researched</t>
        </is>
      </c>
      <c r="J79" s="5" t="inlineStr">
        <is>
          <t>Not researched</t>
        </is>
      </c>
      <c r="K79" s="5" t="inlineStr">
        <is>
          <t>Not researched</t>
        </is>
      </c>
      <c r="L79" s="5" t="inlineStr">
        <is>
          <t>Not researched</t>
        </is>
      </c>
      <c r="M79" s="5" t="inlineStr">
        <is>
          <t>Not researched</t>
        </is>
      </c>
      <c r="N79" s="5" t="n">
        <v>0</v>
      </c>
      <c r="O79" s="5" t="n">
        <v>0</v>
      </c>
      <c r="P79" s="5" t="n">
        <v>0</v>
      </c>
      <c r="Q79" s="5" t="n">
        <v>0</v>
      </c>
      <c r="R79" s="5" t="n"/>
    </row>
    <row r="80">
      <c r="A80" s="5" t="inlineStr">
        <is>
          <t>kw-nbk</t>
        </is>
      </c>
      <c r="B80" s="5" t="inlineStr">
        <is>
          <t>National Bank of Kuwait</t>
        </is>
      </c>
      <c r="C80" s="5" t="n"/>
      <c r="D80" s="5" t="n"/>
      <c r="E80" s="5" t="inlineStr">
        <is>
          <t>Outstanding (batch B23)</t>
        </is>
      </c>
      <c r="F80" s="5" t="inlineStr">
        <is>
          <t>Not researched</t>
        </is>
      </c>
      <c r="G80" s="5" t="inlineStr">
        <is>
          <t>Not researched</t>
        </is>
      </c>
      <c r="H80" s="5" t="inlineStr">
        <is>
          <t>Not researched</t>
        </is>
      </c>
      <c r="I80" s="5" t="inlineStr">
        <is>
          <t>Not researched</t>
        </is>
      </c>
      <c r="J80" s="5" t="inlineStr">
        <is>
          <t>Not researched</t>
        </is>
      </c>
      <c r="K80" s="5" t="inlineStr">
        <is>
          <t>Not researched</t>
        </is>
      </c>
      <c r="L80" s="5" t="inlineStr">
        <is>
          <t>Not researched</t>
        </is>
      </c>
      <c r="M80" s="5" t="inlineStr">
        <is>
          <t>Not researched</t>
        </is>
      </c>
      <c r="N80" s="5" t="n">
        <v>0</v>
      </c>
      <c r="O80" s="5" t="n">
        <v>0</v>
      </c>
      <c r="P80" s="5" t="n">
        <v>0</v>
      </c>
      <c r="Q80" s="5" t="n">
        <v>0</v>
      </c>
      <c r="R80" s="5" t="n"/>
    </row>
    <row r="81">
      <c r="A81" s="5" t="inlineStr">
        <is>
          <t>kw-boubyan</t>
        </is>
      </c>
      <c r="B81" s="5" t="inlineStr">
        <is>
          <t>Boubyan Bank</t>
        </is>
      </c>
      <c r="C81" s="5" t="n"/>
      <c r="D81" s="5" t="n"/>
      <c r="E81" s="5" t="inlineStr">
        <is>
          <t>Outstanding (batch B23)</t>
        </is>
      </c>
      <c r="F81" s="5" t="inlineStr">
        <is>
          <t>Not researched</t>
        </is>
      </c>
      <c r="G81" s="5" t="inlineStr">
        <is>
          <t>Not researched</t>
        </is>
      </c>
      <c r="H81" s="5" t="inlineStr">
        <is>
          <t>Not researched</t>
        </is>
      </c>
      <c r="I81" s="5" t="inlineStr">
        <is>
          <t>Not researched</t>
        </is>
      </c>
      <c r="J81" s="5" t="inlineStr">
        <is>
          <t>Not researched</t>
        </is>
      </c>
      <c r="K81" s="5" t="inlineStr">
        <is>
          <t>Not researched</t>
        </is>
      </c>
      <c r="L81" s="5" t="inlineStr">
        <is>
          <t>Not researched</t>
        </is>
      </c>
      <c r="M81" s="5" t="inlineStr">
        <is>
          <t>Not researched</t>
        </is>
      </c>
      <c r="N81" s="5" t="n">
        <v>0</v>
      </c>
      <c r="O81" s="5" t="n">
        <v>0</v>
      </c>
      <c r="P81" s="5" t="n">
        <v>0</v>
      </c>
      <c r="Q81" s="5" t="n">
        <v>0</v>
      </c>
      <c r="R81" s="5" t="n"/>
    </row>
    <row r="82">
      <c r="A82" s="5" t="inlineStr">
        <is>
          <t>kw-kfh</t>
        </is>
      </c>
      <c r="B82" s="5" t="inlineStr">
        <is>
          <t>Kuwait Finance House</t>
        </is>
      </c>
      <c r="C82" s="5" t="n"/>
      <c r="D82" s="5" t="n"/>
      <c r="E82" s="5" t="inlineStr">
        <is>
          <t>Outstanding (batch B24)</t>
        </is>
      </c>
      <c r="F82" s="5" t="inlineStr">
        <is>
          <t>Not researched</t>
        </is>
      </c>
      <c r="G82" s="5" t="inlineStr">
        <is>
          <t>Not researched</t>
        </is>
      </c>
      <c r="H82" s="5" t="inlineStr">
        <is>
          <t>Not researched</t>
        </is>
      </c>
      <c r="I82" s="5" t="inlineStr">
        <is>
          <t>Not researched</t>
        </is>
      </c>
      <c r="J82" s="5" t="inlineStr">
        <is>
          <t>Not researched</t>
        </is>
      </c>
      <c r="K82" s="5" t="inlineStr">
        <is>
          <t>Not researched</t>
        </is>
      </c>
      <c r="L82" s="5" t="inlineStr">
        <is>
          <t>Not researched</t>
        </is>
      </c>
      <c r="M82" s="5" t="inlineStr">
        <is>
          <t>Not researched</t>
        </is>
      </c>
      <c r="N82" s="5" t="n">
        <v>0</v>
      </c>
      <c r="O82" s="5" t="n">
        <v>0</v>
      </c>
      <c r="P82" s="5" t="n">
        <v>0</v>
      </c>
      <c r="Q82" s="5" t="n">
        <v>0</v>
      </c>
      <c r="R82" s="5" t="n"/>
    </row>
    <row r="83">
      <c r="A83" s="5" t="inlineStr">
        <is>
          <t>bh-kfhbahrain</t>
        </is>
      </c>
      <c r="B83" s="5" t="inlineStr">
        <is>
          <t>Kuwait Finance House (Bahrain)</t>
        </is>
      </c>
      <c r="C83" s="5" t="n"/>
      <c r="D83" s="5" t="n"/>
      <c r="E83" s="5" t="inlineStr">
        <is>
          <t>Outstanding (batch B24)</t>
        </is>
      </c>
      <c r="F83" s="5" t="inlineStr">
        <is>
          <t>Not researched</t>
        </is>
      </c>
      <c r="G83" s="5" t="inlineStr">
        <is>
          <t>Not researched</t>
        </is>
      </c>
      <c r="H83" s="5" t="inlineStr">
        <is>
          <t>Not researched</t>
        </is>
      </c>
      <c r="I83" s="5" t="inlineStr">
        <is>
          <t>Not researched</t>
        </is>
      </c>
      <c r="J83" s="5" t="inlineStr">
        <is>
          <t>Not researched</t>
        </is>
      </c>
      <c r="K83" s="5" t="inlineStr">
        <is>
          <t>Not researched</t>
        </is>
      </c>
      <c r="L83" s="5" t="inlineStr">
        <is>
          <t>Not researched</t>
        </is>
      </c>
      <c r="M83" s="5" t="inlineStr">
        <is>
          <t>Not researched</t>
        </is>
      </c>
      <c r="N83" s="5" t="n">
        <v>0</v>
      </c>
      <c r="O83" s="5" t="n">
        <v>0</v>
      </c>
      <c r="P83" s="5" t="n">
        <v>0</v>
      </c>
      <c r="Q83" s="5" t="n">
        <v>0</v>
      </c>
      <c r="R83" s="5" t="n"/>
    </row>
    <row r="84">
      <c r="A84" s="5" t="inlineStr">
        <is>
          <t>kw-burgan</t>
        </is>
      </c>
      <c r="B84" s="5" t="inlineStr">
        <is>
          <t>Burgan Bank</t>
        </is>
      </c>
      <c r="C84" s="5" t="n"/>
      <c r="D84" s="5" t="n"/>
      <c r="E84" s="5" t="inlineStr">
        <is>
          <t>Outstanding (batch B25)</t>
        </is>
      </c>
      <c r="F84" s="5" t="inlineStr">
        <is>
          <t>Not researched</t>
        </is>
      </c>
      <c r="G84" s="5" t="inlineStr">
        <is>
          <t>Not researched</t>
        </is>
      </c>
      <c r="H84" s="5" t="inlineStr">
        <is>
          <t>Not researched</t>
        </is>
      </c>
      <c r="I84" s="5" t="inlineStr">
        <is>
          <t>Not researched</t>
        </is>
      </c>
      <c r="J84" s="5" t="inlineStr">
        <is>
          <t>Not researched</t>
        </is>
      </c>
      <c r="K84" s="5" t="inlineStr">
        <is>
          <t>Not researched</t>
        </is>
      </c>
      <c r="L84" s="5" t="inlineStr">
        <is>
          <t>Not researched</t>
        </is>
      </c>
      <c r="M84" s="5" t="inlineStr">
        <is>
          <t>Not researched</t>
        </is>
      </c>
      <c r="N84" s="5" t="n">
        <v>0</v>
      </c>
      <c r="O84" s="5" t="n">
        <v>0</v>
      </c>
      <c r="P84" s="5" t="n">
        <v>0</v>
      </c>
      <c r="Q84" s="5" t="n">
        <v>0</v>
      </c>
      <c r="R84" s="5" t="n"/>
    </row>
    <row r="85">
      <c r="A85" s="5" t="inlineStr">
        <is>
          <t>kw-kamco</t>
        </is>
      </c>
      <c r="B85" s="5" t="inlineStr">
        <is>
          <t>Kamco Invest</t>
        </is>
      </c>
      <c r="C85" s="5" t="n"/>
      <c r="D85" s="5" t="n"/>
      <c r="E85" s="5" t="inlineStr">
        <is>
          <t>Outstanding (batch B25)</t>
        </is>
      </c>
      <c r="F85" s="5" t="inlineStr">
        <is>
          <t>Not researched</t>
        </is>
      </c>
      <c r="G85" s="5" t="inlineStr">
        <is>
          <t>Not researched</t>
        </is>
      </c>
      <c r="H85" s="5" t="inlineStr">
        <is>
          <t>Not researched</t>
        </is>
      </c>
      <c r="I85" s="5" t="inlineStr">
        <is>
          <t>Not researched</t>
        </is>
      </c>
      <c r="J85" s="5" t="inlineStr">
        <is>
          <t>Not researched</t>
        </is>
      </c>
      <c r="K85" s="5" t="inlineStr">
        <is>
          <t>Not researched</t>
        </is>
      </c>
      <c r="L85" s="5" t="inlineStr">
        <is>
          <t>Not researched</t>
        </is>
      </c>
      <c r="M85" s="5" t="inlineStr">
        <is>
          <t>Not researched</t>
        </is>
      </c>
      <c r="N85" s="5" t="n">
        <v>0</v>
      </c>
      <c r="O85" s="5" t="n">
        <v>0</v>
      </c>
      <c r="P85" s="5" t="n">
        <v>0</v>
      </c>
      <c r="Q85" s="5" t="n">
        <v>0</v>
      </c>
      <c r="R85" s="5" t="n"/>
    </row>
    <row r="86">
      <c r="A86" s="5" t="inlineStr">
        <is>
          <t>kw-warba</t>
        </is>
      </c>
      <c r="B86" s="5" t="inlineStr">
        <is>
          <t>Warba Bank</t>
        </is>
      </c>
      <c r="C86" s="5" t="n"/>
      <c r="D86" s="5" t="n"/>
      <c r="E86" s="5" t="inlineStr">
        <is>
          <t>Outstanding (batch B25)</t>
        </is>
      </c>
      <c r="F86" s="5" t="inlineStr">
        <is>
          <t>Not researched</t>
        </is>
      </c>
      <c r="G86" s="5" t="inlineStr">
        <is>
          <t>Not researched</t>
        </is>
      </c>
      <c r="H86" s="5" t="inlineStr">
        <is>
          <t>Not researched</t>
        </is>
      </c>
      <c r="I86" s="5" t="inlineStr">
        <is>
          <t>Not researched</t>
        </is>
      </c>
      <c r="J86" s="5" t="inlineStr">
        <is>
          <t>Not researched</t>
        </is>
      </c>
      <c r="K86" s="5" t="inlineStr">
        <is>
          <t>Not researched</t>
        </is>
      </c>
      <c r="L86" s="5" t="inlineStr">
        <is>
          <t>Not researched</t>
        </is>
      </c>
      <c r="M86" s="5" t="inlineStr">
        <is>
          <t>Not researched</t>
        </is>
      </c>
      <c r="N86" s="5" t="n">
        <v>0</v>
      </c>
      <c r="O86" s="5" t="n">
        <v>0</v>
      </c>
      <c r="P86" s="5" t="n">
        <v>0</v>
      </c>
      <c r="Q86" s="5" t="n">
        <v>0</v>
      </c>
      <c r="R86" s="5" t="n"/>
    </row>
    <row r="87">
      <c r="A87" s="5" t="inlineStr">
        <is>
          <t>kw-gulfbank</t>
        </is>
      </c>
      <c r="B87" s="5" t="inlineStr">
        <is>
          <t>Gulf Bank</t>
        </is>
      </c>
      <c r="C87" s="5" t="n"/>
      <c r="D87" s="5" t="n"/>
      <c r="E87" s="5" t="inlineStr">
        <is>
          <t>Outstanding (batch B26)</t>
        </is>
      </c>
      <c r="F87" s="5" t="inlineStr">
        <is>
          <t>Not researched</t>
        </is>
      </c>
      <c r="G87" s="5" t="inlineStr">
        <is>
          <t>Not researched</t>
        </is>
      </c>
      <c r="H87" s="5" t="inlineStr">
        <is>
          <t>Not researched</t>
        </is>
      </c>
      <c r="I87" s="5" t="inlineStr">
        <is>
          <t>Not researched</t>
        </is>
      </c>
      <c r="J87" s="5" t="inlineStr">
        <is>
          <t>Not researched</t>
        </is>
      </c>
      <c r="K87" s="5" t="inlineStr">
        <is>
          <t>Not researched</t>
        </is>
      </c>
      <c r="L87" s="5" t="inlineStr">
        <is>
          <t>Not researched</t>
        </is>
      </c>
      <c r="M87" s="5" t="inlineStr">
        <is>
          <t>Not researched</t>
        </is>
      </c>
      <c r="N87" s="5" t="n">
        <v>0</v>
      </c>
      <c r="O87" s="5" t="n">
        <v>0</v>
      </c>
      <c r="P87" s="5" t="n">
        <v>0</v>
      </c>
      <c r="Q87" s="5" t="n">
        <v>0</v>
      </c>
      <c r="R87" s="5" t="n"/>
    </row>
    <row r="88">
      <c r="A88" s="5" t="inlineStr">
        <is>
          <t>kw-cbk</t>
        </is>
      </c>
      <c r="B88" s="5" t="inlineStr">
        <is>
          <t>Commercial Bank of Kuwait</t>
        </is>
      </c>
      <c r="C88" s="5" t="n"/>
      <c r="D88" s="5" t="n"/>
      <c r="E88" s="5" t="inlineStr">
        <is>
          <t>Outstanding (batch B26)</t>
        </is>
      </c>
      <c r="F88" s="5" t="inlineStr">
        <is>
          <t>Not researched</t>
        </is>
      </c>
      <c r="G88" s="5" t="inlineStr">
        <is>
          <t>Not researched</t>
        </is>
      </c>
      <c r="H88" s="5" t="inlineStr">
        <is>
          <t>Not researched</t>
        </is>
      </c>
      <c r="I88" s="5" t="inlineStr">
        <is>
          <t>Not researched</t>
        </is>
      </c>
      <c r="J88" s="5" t="inlineStr">
        <is>
          <t>Not researched</t>
        </is>
      </c>
      <c r="K88" s="5" t="inlineStr">
        <is>
          <t>Not researched</t>
        </is>
      </c>
      <c r="L88" s="5" t="inlineStr">
        <is>
          <t>Not researched</t>
        </is>
      </c>
      <c r="M88" s="5" t="inlineStr">
        <is>
          <t>Not researched</t>
        </is>
      </c>
      <c r="N88" s="5" t="n">
        <v>0</v>
      </c>
      <c r="O88" s="5" t="n">
        <v>0</v>
      </c>
      <c r="P88" s="5" t="n">
        <v>0</v>
      </c>
      <c r="Q88" s="5" t="n">
        <v>0</v>
      </c>
      <c r="R88" s="5" t="n"/>
    </row>
    <row r="89">
      <c r="A89" s="5" t="inlineStr">
        <is>
          <t>kw-abk</t>
        </is>
      </c>
      <c r="B89" s="5" t="inlineStr">
        <is>
          <t>Al Ahli Bank of Kuwait</t>
        </is>
      </c>
      <c r="C89" s="5" t="n"/>
      <c r="D89" s="5" t="n"/>
      <c r="E89" s="5" t="inlineStr">
        <is>
          <t>Outstanding (batch B26)</t>
        </is>
      </c>
      <c r="F89" s="5" t="inlineStr">
        <is>
          <t>Not researched</t>
        </is>
      </c>
      <c r="G89" s="5" t="inlineStr">
        <is>
          <t>Not researched</t>
        </is>
      </c>
      <c r="H89" s="5" t="inlineStr">
        <is>
          <t>Not researched</t>
        </is>
      </c>
      <c r="I89" s="5" t="inlineStr">
        <is>
          <t>Not researched</t>
        </is>
      </c>
      <c r="J89" s="5" t="inlineStr">
        <is>
          <t>Not researched</t>
        </is>
      </c>
      <c r="K89" s="5" t="inlineStr">
        <is>
          <t>Not researched</t>
        </is>
      </c>
      <c r="L89" s="5" t="inlineStr">
        <is>
          <t>Not researched</t>
        </is>
      </c>
      <c r="M89" s="5" t="inlineStr">
        <is>
          <t>Not researched</t>
        </is>
      </c>
      <c r="N89" s="5" t="n">
        <v>0</v>
      </c>
      <c r="O89" s="5" t="n">
        <v>0</v>
      </c>
      <c r="P89" s="5" t="n">
        <v>0</v>
      </c>
      <c r="Q89" s="5" t="n">
        <v>0</v>
      </c>
      <c r="R89" s="5" t="n"/>
    </row>
    <row r="90">
      <c r="A90" s="5" t="inlineStr">
        <is>
          <t>kw-kib</t>
        </is>
      </c>
      <c r="B90" s="5" t="inlineStr">
        <is>
          <t>Kuwait International Bank</t>
        </is>
      </c>
      <c r="C90" s="5" t="n"/>
      <c r="D90" s="5" t="n"/>
      <c r="E90" s="5" t="inlineStr">
        <is>
          <t>Outstanding (batch B26)</t>
        </is>
      </c>
      <c r="F90" s="5" t="inlineStr">
        <is>
          <t>Not researched</t>
        </is>
      </c>
      <c r="G90" s="5" t="inlineStr">
        <is>
          <t>Not researched</t>
        </is>
      </c>
      <c r="H90" s="5" t="inlineStr">
        <is>
          <t>Not researched</t>
        </is>
      </c>
      <c r="I90" s="5" t="inlineStr">
        <is>
          <t>Not researched</t>
        </is>
      </c>
      <c r="J90" s="5" t="inlineStr">
        <is>
          <t>Not researched</t>
        </is>
      </c>
      <c r="K90" s="5" t="inlineStr">
        <is>
          <t>Not researched</t>
        </is>
      </c>
      <c r="L90" s="5" t="inlineStr">
        <is>
          <t>Not researched</t>
        </is>
      </c>
      <c r="M90" s="5" t="inlineStr">
        <is>
          <t>Not researched</t>
        </is>
      </c>
      <c r="N90" s="5" t="n">
        <v>0</v>
      </c>
      <c r="O90" s="5" t="n">
        <v>0</v>
      </c>
      <c r="P90" s="5" t="n">
        <v>0</v>
      </c>
      <c r="Q90" s="5" t="n">
        <v>0</v>
      </c>
      <c r="R90" s="5" t="n"/>
    </row>
    <row r="91">
      <c r="A91" s="5" t="inlineStr">
        <is>
          <t>bh-nbb</t>
        </is>
      </c>
      <c r="B91" s="5" t="inlineStr">
        <is>
          <t>National Bank of Bahrain</t>
        </is>
      </c>
      <c r="C91" s="5" t="n"/>
      <c r="D91" s="5" t="n"/>
      <c r="E91" s="5" t="inlineStr">
        <is>
          <t>Outstanding (batch B27)</t>
        </is>
      </c>
      <c r="F91" s="5" t="inlineStr">
        <is>
          <t>Not researched</t>
        </is>
      </c>
      <c r="G91" s="5" t="inlineStr">
        <is>
          <t>Not researched</t>
        </is>
      </c>
      <c r="H91" s="5" t="inlineStr">
        <is>
          <t>Not researched</t>
        </is>
      </c>
      <c r="I91" s="5" t="inlineStr">
        <is>
          <t>Not researched</t>
        </is>
      </c>
      <c r="J91" s="5" t="inlineStr">
        <is>
          <t>Not researched</t>
        </is>
      </c>
      <c r="K91" s="5" t="inlineStr">
        <is>
          <t>Not researched</t>
        </is>
      </c>
      <c r="L91" s="5" t="inlineStr">
        <is>
          <t>Not researched</t>
        </is>
      </c>
      <c r="M91" s="5" t="inlineStr">
        <is>
          <t>Not researched</t>
        </is>
      </c>
      <c r="N91" s="5" t="n">
        <v>0</v>
      </c>
      <c r="O91" s="5" t="n">
        <v>0</v>
      </c>
      <c r="P91" s="5" t="n">
        <v>0</v>
      </c>
      <c r="Q91" s="5" t="n">
        <v>0</v>
      </c>
      <c r="R91" s="5" t="n"/>
    </row>
    <row r="92">
      <c r="A92" s="5" t="inlineStr">
        <is>
          <t>bh-bisb</t>
        </is>
      </c>
      <c r="B92" s="5" t="inlineStr">
        <is>
          <t>Bahrain Islamic Bank</t>
        </is>
      </c>
      <c r="C92" s="5" t="n"/>
      <c r="D92" s="5" t="n"/>
      <c r="E92" s="5" t="inlineStr">
        <is>
          <t>Outstanding (batch B27)</t>
        </is>
      </c>
      <c r="F92" s="5" t="inlineStr">
        <is>
          <t>Not researched</t>
        </is>
      </c>
      <c r="G92" s="5" t="inlineStr">
        <is>
          <t>Not researched</t>
        </is>
      </c>
      <c r="H92" s="5" t="inlineStr">
        <is>
          <t>Not researched</t>
        </is>
      </c>
      <c r="I92" s="5" t="inlineStr">
        <is>
          <t>Not researched</t>
        </is>
      </c>
      <c r="J92" s="5" t="inlineStr">
        <is>
          <t>Not researched</t>
        </is>
      </c>
      <c r="K92" s="5" t="inlineStr">
        <is>
          <t>Not researched</t>
        </is>
      </c>
      <c r="L92" s="5" t="inlineStr">
        <is>
          <t>Not researched</t>
        </is>
      </c>
      <c r="M92" s="5" t="inlineStr">
        <is>
          <t>Not researched</t>
        </is>
      </c>
      <c r="N92" s="5" t="n">
        <v>0</v>
      </c>
      <c r="O92" s="5" t="n">
        <v>0</v>
      </c>
      <c r="P92" s="5" t="n">
        <v>0</v>
      </c>
      <c r="Q92" s="5" t="n">
        <v>0</v>
      </c>
      <c r="R92" s="5" t="n"/>
    </row>
    <row r="93">
      <c r="A93" s="5" t="inlineStr">
        <is>
          <t>bh-bbk</t>
        </is>
      </c>
      <c r="B93" s="5" t="inlineStr">
        <is>
          <t>BBK (Bank of Bahrain and Kuwait)</t>
        </is>
      </c>
      <c r="C93" s="5" t="n"/>
      <c r="D93" s="5" t="n"/>
      <c r="E93" s="5" t="inlineStr">
        <is>
          <t>Outstanding (batch B27)</t>
        </is>
      </c>
      <c r="F93" s="5" t="inlineStr">
        <is>
          <t>Not researched</t>
        </is>
      </c>
      <c r="G93" s="5" t="inlineStr">
        <is>
          <t>Not researched</t>
        </is>
      </c>
      <c r="H93" s="5" t="inlineStr">
        <is>
          <t>Not researched</t>
        </is>
      </c>
      <c r="I93" s="5" t="inlineStr">
        <is>
          <t>Not researched</t>
        </is>
      </c>
      <c r="J93" s="5" t="inlineStr">
        <is>
          <t>Not researched</t>
        </is>
      </c>
      <c r="K93" s="5" t="inlineStr">
        <is>
          <t>Not researched</t>
        </is>
      </c>
      <c r="L93" s="5" t="inlineStr">
        <is>
          <t>Not researched</t>
        </is>
      </c>
      <c r="M93" s="5" t="inlineStr">
        <is>
          <t>Not researched</t>
        </is>
      </c>
      <c r="N93" s="5" t="n">
        <v>0</v>
      </c>
      <c r="O93" s="5" t="n">
        <v>0</v>
      </c>
      <c r="P93" s="5" t="n">
        <v>0</v>
      </c>
      <c r="Q93" s="5" t="n">
        <v>0</v>
      </c>
      <c r="R93" s="5" t="n"/>
    </row>
    <row r="94">
      <c r="A94" s="5" t="inlineStr">
        <is>
          <t>bh-alsalam</t>
        </is>
      </c>
      <c r="B94" s="5" t="inlineStr">
        <is>
          <t>Al Salam Bank</t>
        </is>
      </c>
      <c r="C94" s="5" t="n"/>
      <c r="D94" s="5" t="n"/>
      <c r="E94" s="5" t="inlineStr">
        <is>
          <t>Outstanding (batch B28)</t>
        </is>
      </c>
      <c r="F94" s="5" t="inlineStr">
        <is>
          <t>Not researched</t>
        </is>
      </c>
      <c r="G94" s="5" t="inlineStr">
        <is>
          <t>Not researched</t>
        </is>
      </c>
      <c r="H94" s="5" t="inlineStr">
        <is>
          <t>Not researched</t>
        </is>
      </c>
      <c r="I94" s="5" t="inlineStr">
        <is>
          <t>Not researched</t>
        </is>
      </c>
      <c r="J94" s="5" t="inlineStr">
        <is>
          <t>Not researched</t>
        </is>
      </c>
      <c r="K94" s="5" t="inlineStr">
        <is>
          <t>Not researched</t>
        </is>
      </c>
      <c r="L94" s="5" t="inlineStr">
        <is>
          <t>Not researched</t>
        </is>
      </c>
      <c r="M94" s="5" t="inlineStr">
        <is>
          <t>Not researched</t>
        </is>
      </c>
      <c r="N94" s="5" t="n">
        <v>0</v>
      </c>
      <c r="O94" s="5" t="n">
        <v>0</v>
      </c>
      <c r="P94" s="5" t="n">
        <v>0</v>
      </c>
      <c r="Q94" s="5" t="n">
        <v>0</v>
      </c>
      <c r="R94" s="5" t="n"/>
    </row>
    <row r="95">
      <c r="A95" s="5" t="inlineStr">
        <is>
          <t>bh-khaleeji</t>
        </is>
      </c>
      <c r="B95" s="5" t="inlineStr">
        <is>
          <t>Khaleeji Bank</t>
        </is>
      </c>
      <c r="C95" s="5" t="n"/>
      <c r="D95" s="5" t="n"/>
      <c r="E95" s="5" t="inlineStr">
        <is>
          <t>Outstanding (batch B28)</t>
        </is>
      </c>
      <c r="F95" s="5" t="inlineStr">
        <is>
          <t>Not researched</t>
        </is>
      </c>
      <c r="G95" s="5" t="inlineStr">
        <is>
          <t>Not researched</t>
        </is>
      </c>
      <c r="H95" s="5" t="inlineStr">
        <is>
          <t>Not researched</t>
        </is>
      </c>
      <c r="I95" s="5" t="inlineStr">
        <is>
          <t>Not researched</t>
        </is>
      </c>
      <c r="J95" s="5" t="inlineStr">
        <is>
          <t>Not researched</t>
        </is>
      </c>
      <c r="K95" s="5" t="inlineStr">
        <is>
          <t>Not researched</t>
        </is>
      </c>
      <c r="L95" s="5" t="inlineStr">
        <is>
          <t>Not researched</t>
        </is>
      </c>
      <c r="M95" s="5" t="inlineStr">
        <is>
          <t>Not researched</t>
        </is>
      </c>
      <c r="N95" s="5" t="n">
        <v>0</v>
      </c>
      <c r="O95" s="5" t="n">
        <v>0</v>
      </c>
      <c r="P95" s="5" t="n">
        <v>0</v>
      </c>
      <c r="Q95" s="5" t="n">
        <v>0</v>
      </c>
      <c r="R95" s="5" t="n"/>
    </row>
    <row r="96">
      <c r="A96" s="5" t="inlineStr">
        <is>
          <t>bh-albaraka</t>
        </is>
      </c>
      <c r="B96" s="5" t="inlineStr">
        <is>
          <t>Al Baraka Group</t>
        </is>
      </c>
      <c r="C96" s="5" t="n"/>
      <c r="D96" s="5" t="n"/>
      <c r="E96" s="5" t="inlineStr">
        <is>
          <t>Outstanding (batch B28)</t>
        </is>
      </c>
      <c r="F96" s="5" t="inlineStr">
        <is>
          <t>Not researched</t>
        </is>
      </c>
      <c r="G96" s="5" t="inlineStr">
        <is>
          <t>Not researched</t>
        </is>
      </c>
      <c r="H96" s="5" t="inlineStr">
        <is>
          <t>Not researched</t>
        </is>
      </c>
      <c r="I96" s="5" t="inlineStr">
        <is>
          <t>Not researched</t>
        </is>
      </c>
      <c r="J96" s="5" t="inlineStr">
        <is>
          <t>Not researched</t>
        </is>
      </c>
      <c r="K96" s="5" t="inlineStr">
        <is>
          <t>Not researched</t>
        </is>
      </c>
      <c r="L96" s="5" t="inlineStr">
        <is>
          <t>Not researched</t>
        </is>
      </c>
      <c r="M96" s="5" t="inlineStr">
        <is>
          <t>Not researched</t>
        </is>
      </c>
      <c r="N96" s="5" t="n">
        <v>0</v>
      </c>
      <c r="O96" s="5" t="n">
        <v>0</v>
      </c>
      <c r="P96" s="5" t="n">
        <v>0</v>
      </c>
      <c r="Q96" s="5" t="n">
        <v>0</v>
      </c>
      <c r="R96" s="5" t="n"/>
    </row>
    <row r="97">
      <c r="A97" s="5" t="inlineStr">
        <is>
          <t>bh-bankabc</t>
        </is>
      </c>
      <c r="B97" s="5" t="inlineStr">
        <is>
          <t>Bank ABC (Arab Banking Corporation)</t>
        </is>
      </c>
      <c r="C97" s="5" t="n"/>
      <c r="D97" s="5" t="n"/>
      <c r="E97" s="5" t="inlineStr">
        <is>
          <t>Outstanding (batch B29)</t>
        </is>
      </c>
      <c r="F97" s="5" t="inlineStr">
        <is>
          <t>Not researched</t>
        </is>
      </c>
      <c r="G97" s="5" t="inlineStr">
        <is>
          <t>Not researched</t>
        </is>
      </c>
      <c r="H97" s="5" t="inlineStr">
        <is>
          <t>Not researched</t>
        </is>
      </c>
      <c r="I97" s="5" t="inlineStr">
        <is>
          <t>Not researched</t>
        </is>
      </c>
      <c r="J97" s="5" t="inlineStr">
        <is>
          <t>Not researched</t>
        </is>
      </c>
      <c r="K97" s="5" t="inlineStr">
        <is>
          <t>Not researched</t>
        </is>
      </c>
      <c r="L97" s="5" t="inlineStr">
        <is>
          <t>Not researched</t>
        </is>
      </c>
      <c r="M97" s="5" t="inlineStr">
        <is>
          <t>Not researched</t>
        </is>
      </c>
      <c r="N97" s="5" t="n">
        <v>0</v>
      </c>
      <c r="O97" s="5" t="n">
        <v>0</v>
      </c>
      <c r="P97" s="5" t="n">
        <v>0</v>
      </c>
      <c r="Q97" s="5" t="n">
        <v>0</v>
      </c>
      <c r="R97" s="5" t="n"/>
    </row>
    <row r="98">
      <c r="A98" s="5" t="inlineStr">
        <is>
          <t>bh-gib</t>
        </is>
      </c>
      <c r="B98" s="5" t="inlineStr">
        <is>
          <t>Gulf International Bank</t>
        </is>
      </c>
      <c r="C98" s="5" t="n"/>
      <c r="D98" s="5" t="n"/>
      <c r="E98" s="5" t="inlineStr">
        <is>
          <t>Outstanding (batch B29)</t>
        </is>
      </c>
      <c r="F98" s="5" t="inlineStr">
        <is>
          <t>Not researched</t>
        </is>
      </c>
      <c r="G98" s="5" t="inlineStr">
        <is>
          <t>Not researched</t>
        </is>
      </c>
      <c r="H98" s="5" t="inlineStr">
        <is>
          <t>Not researched</t>
        </is>
      </c>
      <c r="I98" s="5" t="inlineStr">
        <is>
          <t>Not researched</t>
        </is>
      </c>
      <c r="J98" s="5" t="inlineStr">
        <is>
          <t>Not researched</t>
        </is>
      </c>
      <c r="K98" s="5" t="inlineStr">
        <is>
          <t>Not researched</t>
        </is>
      </c>
      <c r="L98" s="5" t="inlineStr">
        <is>
          <t>Not researched</t>
        </is>
      </c>
      <c r="M98" s="5" t="inlineStr">
        <is>
          <t>Not researched</t>
        </is>
      </c>
      <c r="N98" s="5" t="n">
        <v>0</v>
      </c>
      <c r="O98" s="5" t="n">
        <v>0</v>
      </c>
      <c r="P98" s="5" t="n">
        <v>0</v>
      </c>
      <c r="Q98" s="5" t="n">
        <v>0</v>
      </c>
      <c r="R98" s="5" t="n"/>
    </row>
    <row r="99">
      <c r="A99" s="5" t="inlineStr">
        <is>
          <t>bh-gfh</t>
        </is>
      </c>
      <c r="B99" s="5" t="inlineStr">
        <is>
          <t>GFH Financial Group</t>
        </is>
      </c>
      <c r="C99" s="5" t="n"/>
      <c r="D99" s="5" t="n"/>
      <c r="E99" s="5" t="inlineStr">
        <is>
          <t>Outstanding (batch B29)</t>
        </is>
      </c>
      <c r="F99" s="5" t="inlineStr">
        <is>
          <t>Not researched</t>
        </is>
      </c>
      <c r="G99" s="5" t="inlineStr">
        <is>
          <t>Not researched</t>
        </is>
      </c>
      <c r="H99" s="5" t="inlineStr">
        <is>
          <t>Not researched</t>
        </is>
      </c>
      <c r="I99" s="5" t="inlineStr">
        <is>
          <t>Not researched</t>
        </is>
      </c>
      <c r="J99" s="5" t="inlineStr">
        <is>
          <t>Not researched</t>
        </is>
      </c>
      <c r="K99" s="5" t="inlineStr">
        <is>
          <t>Not researched</t>
        </is>
      </c>
      <c r="L99" s="5" t="inlineStr">
        <is>
          <t>Not researched</t>
        </is>
      </c>
      <c r="M99" s="5" t="inlineStr">
        <is>
          <t>Not researched</t>
        </is>
      </c>
      <c r="N99" s="5" t="n">
        <v>0</v>
      </c>
      <c r="O99" s="5" t="n">
        <v>0</v>
      </c>
      <c r="P99" s="5" t="n">
        <v>0</v>
      </c>
      <c r="Q99" s="5" t="n">
        <v>0</v>
      </c>
      <c r="R99" s="5" t="n"/>
    </row>
    <row r="100">
      <c r="A100" s="5" t="inlineStr">
        <is>
          <t>bh-sico</t>
        </is>
      </c>
      <c r="B100" s="5" t="inlineStr">
        <is>
          <t>SICO</t>
        </is>
      </c>
      <c r="C100" s="5" t="n"/>
      <c r="D100" s="5" t="n"/>
      <c r="E100" s="5" t="inlineStr">
        <is>
          <t>Outstanding (batch B29)</t>
        </is>
      </c>
      <c r="F100" s="5" t="inlineStr">
        <is>
          <t>Not researched</t>
        </is>
      </c>
      <c r="G100" s="5" t="inlineStr">
        <is>
          <t>Not researched</t>
        </is>
      </c>
      <c r="H100" s="5" t="inlineStr">
        <is>
          <t>Not researched</t>
        </is>
      </c>
      <c r="I100" s="5" t="inlineStr">
        <is>
          <t>Not researched</t>
        </is>
      </c>
      <c r="J100" s="5" t="inlineStr">
        <is>
          <t>Not researched</t>
        </is>
      </c>
      <c r="K100" s="5" t="inlineStr">
        <is>
          <t>Not researched</t>
        </is>
      </c>
      <c r="L100" s="5" t="inlineStr">
        <is>
          <t>Not researched</t>
        </is>
      </c>
      <c r="M100" s="5" t="inlineStr">
        <is>
          <t>Not researched</t>
        </is>
      </c>
      <c r="N100" s="5" t="n">
        <v>0</v>
      </c>
      <c r="O100" s="5" t="n">
        <v>0</v>
      </c>
      <c r="P100" s="5" t="n">
        <v>0</v>
      </c>
      <c r="Q100" s="5" t="n">
        <v>0</v>
      </c>
      <c r="R100" s="5" t="n"/>
    </row>
    <row r="101">
      <c r="A101" s="5" t="inlineStr">
        <is>
          <t>om-bankmuscat</t>
        </is>
      </c>
      <c r="B101" s="5" t="inlineStr">
        <is>
          <t>Bank Muscat</t>
        </is>
      </c>
      <c r="C101" s="5" t="n"/>
      <c r="D101" s="5" t="n"/>
      <c r="E101" s="5" t="inlineStr">
        <is>
          <t>Outstanding (batch B30)</t>
        </is>
      </c>
      <c r="F101" s="5" t="inlineStr">
        <is>
          <t>Not researched</t>
        </is>
      </c>
      <c r="G101" s="5" t="inlineStr">
        <is>
          <t>Not researched</t>
        </is>
      </c>
      <c r="H101" s="5" t="inlineStr">
        <is>
          <t>Not researched</t>
        </is>
      </c>
      <c r="I101" s="5" t="inlineStr">
        <is>
          <t>Not researched</t>
        </is>
      </c>
      <c r="J101" s="5" t="inlineStr">
        <is>
          <t>Not researched</t>
        </is>
      </c>
      <c r="K101" s="5" t="inlineStr">
        <is>
          <t>Not researched</t>
        </is>
      </c>
      <c r="L101" s="5" t="inlineStr">
        <is>
          <t>Not researched</t>
        </is>
      </c>
      <c r="M101" s="5" t="inlineStr">
        <is>
          <t>Not researched</t>
        </is>
      </c>
      <c r="N101" s="5" t="n">
        <v>0</v>
      </c>
      <c r="O101" s="5" t="n">
        <v>0</v>
      </c>
      <c r="P101" s="5" t="n">
        <v>0</v>
      </c>
      <c r="Q101" s="5" t="n">
        <v>0</v>
      </c>
      <c r="R101" s="5" t="n"/>
    </row>
    <row r="102">
      <c r="A102" s="5" t="inlineStr">
        <is>
          <t>om-sohar</t>
        </is>
      </c>
      <c r="B102" s="5" t="inlineStr">
        <is>
          <t>Sohar International Bank</t>
        </is>
      </c>
      <c r="C102" s="5" t="n"/>
      <c r="D102" s="5" t="n"/>
      <c r="E102" s="5" t="inlineStr">
        <is>
          <t>Outstanding (batch B30)</t>
        </is>
      </c>
      <c r="F102" s="5" t="inlineStr">
        <is>
          <t>Not researched</t>
        </is>
      </c>
      <c r="G102" s="5" t="inlineStr">
        <is>
          <t>Not researched</t>
        </is>
      </c>
      <c r="H102" s="5" t="inlineStr">
        <is>
          <t>Not researched</t>
        </is>
      </c>
      <c r="I102" s="5" t="inlineStr">
        <is>
          <t>Not researched</t>
        </is>
      </c>
      <c r="J102" s="5" t="inlineStr">
        <is>
          <t>Not researched</t>
        </is>
      </c>
      <c r="K102" s="5" t="inlineStr">
        <is>
          <t>Not researched</t>
        </is>
      </c>
      <c r="L102" s="5" t="inlineStr">
        <is>
          <t>Not researched</t>
        </is>
      </c>
      <c r="M102" s="5" t="inlineStr">
        <is>
          <t>Not researched</t>
        </is>
      </c>
      <c r="N102" s="5" t="n">
        <v>0</v>
      </c>
      <c r="O102" s="5" t="n">
        <v>0</v>
      </c>
      <c r="P102" s="5" t="n">
        <v>0</v>
      </c>
      <c r="Q102" s="5" t="n">
        <v>0</v>
      </c>
      <c r="R102" s="5" t="n"/>
    </row>
    <row r="103">
      <c r="A103" s="5" t="inlineStr">
        <is>
          <t>om-bankdhofar</t>
        </is>
      </c>
      <c r="B103" s="5" t="inlineStr">
        <is>
          <t>Bank Dhofar</t>
        </is>
      </c>
      <c r="C103" s="5" t="n"/>
      <c r="D103" s="5" t="n"/>
      <c r="E103" s="5" t="inlineStr">
        <is>
          <t>Outstanding (batch B31)</t>
        </is>
      </c>
      <c r="F103" s="5" t="inlineStr">
        <is>
          <t>Not researched</t>
        </is>
      </c>
      <c r="G103" s="5" t="inlineStr">
        <is>
          <t>Not researched</t>
        </is>
      </c>
      <c r="H103" s="5" t="inlineStr">
        <is>
          <t>Not researched</t>
        </is>
      </c>
      <c r="I103" s="5" t="inlineStr">
        <is>
          <t>Not researched</t>
        </is>
      </c>
      <c r="J103" s="5" t="inlineStr">
        <is>
          <t>Not researched</t>
        </is>
      </c>
      <c r="K103" s="5" t="inlineStr">
        <is>
          <t>Not researched</t>
        </is>
      </c>
      <c r="L103" s="5" t="inlineStr">
        <is>
          <t>Not researched</t>
        </is>
      </c>
      <c r="M103" s="5" t="inlineStr">
        <is>
          <t>Not researched</t>
        </is>
      </c>
      <c r="N103" s="5" t="n">
        <v>0</v>
      </c>
      <c r="O103" s="5" t="n">
        <v>0</v>
      </c>
      <c r="P103" s="5" t="n">
        <v>0</v>
      </c>
      <c r="Q103" s="5" t="n">
        <v>0</v>
      </c>
      <c r="R103" s="5" t="n"/>
    </row>
    <row r="104">
      <c r="A104" s="5" t="inlineStr">
        <is>
          <t>om-nbo</t>
        </is>
      </c>
      <c r="B104" s="5" t="inlineStr">
        <is>
          <t>National Bank of Oman</t>
        </is>
      </c>
      <c r="C104" s="5" t="n"/>
      <c r="D104" s="5" t="n"/>
      <c r="E104" s="5" t="inlineStr">
        <is>
          <t>Outstanding (batch B31)</t>
        </is>
      </c>
      <c r="F104" s="5" t="inlineStr">
        <is>
          <t>Not researched</t>
        </is>
      </c>
      <c r="G104" s="5" t="inlineStr">
        <is>
          <t>Not researched</t>
        </is>
      </c>
      <c r="H104" s="5" t="inlineStr">
        <is>
          <t>Not researched</t>
        </is>
      </c>
      <c r="I104" s="5" t="inlineStr">
        <is>
          <t>Not researched</t>
        </is>
      </c>
      <c r="J104" s="5" t="inlineStr">
        <is>
          <t>Not researched</t>
        </is>
      </c>
      <c r="K104" s="5" t="inlineStr">
        <is>
          <t>Not researched</t>
        </is>
      </c>
      <c r="L104" s="5" t="inlineStr">
        <is>
          <t>Not researched</t>
        </is>
      </c>
      <c r="M104" s="5" t="inlineStr">
        <is>
          <t>Not researched</t>
        </is>
      </c>
      <c r="N104" s="5" t="n">
        <v>0</v>
      </c>
      <c r="O104" s="5" t="n">
        <v>0</v>
      </c>
      <c r="P104" s="5" t="n">
        <v>0</v>
      </c>
      <c r="Q104" s="5" t="n">
        <v>0</v>
      </c>
      <c r="R104" s="5" t="n"/>
    </row>
    <row r="105">
      <c r="A105" s="5" t="inlineStr">
        <is>
          <t>om-oab</t>
        </is>
      </c>
      <c r="B105" s="5" t="inlineStr">
        <is>
          <t>Oman Arab Bank</t>
        </is>
      </c>
      <c r="C105" s="5" t="n"/>
      <c r="D105" s="5" t="n"/>
      <c r="E105" s="5" t="inlineStr">
        <is>
          <t>Outstanding (batch B31)</t>
        </is>
      </c>
      <c r="F105" s="5" t="inlineStr">
        <is>
          <t>Not researched</t>
        </is>
      </c>
      <c r="G105" s="5" t="inlineStr">
        <is>
          <t>Not researched</t>
        </is>
      </c>
      <c r="H105" s="5" t="inlineStr">
        <is>
          <t>Not researched</t>
        </is>
      </c>
      <c r="I105" s="5" t="inlineStr">
        <is>
          <t>Not researched</t>
        </is>
      </c>
      <c r="J105" s="5" t="inlineStr">
        <is>
          <t>Not researched</t>
        </is>
      </c>
      <c r="K105" s="5" t="inlineStr">
        <is>
          <t>Not researched</t>
        </is>
      </c>
      <c r="L105" s="5" t="inlineStr">
        <is>
          <t>Not researched</t>
        </is>
      </c>
      <c r="M105" s="5" t="inlineStr">
        <is>
          <t>Not researched</t>
        </is>
      </c>
      <c r="N105" s="5" t="n">
        <v>0</v>
      </c>
      <c r="O105" s="5" t="n">
        <v>0</v>
      </c>
      <c r="P105" s="5" t="n">
        <v>0</v>
      </c>
      <c r="Q105" s="5" t="n">
        <v>0</v>
      </c>
      <c r="R105" s="5" t="n"/>
    </row>
    <row r="106">
      <c r="A106" s="5" t="inlineStr">
        <is>
          <t>om-ahlibank</t>
        </is>
      </c>
      <c r="B106" s="5" t="inlineStr">
        <is>
          <t>Ahli Bank (Oman)</t>
        </is>
      </c>
      <c r="C106" s="5" t="n"/>
      <c r="D106" s="5" t="n"/>
      <c r="E106" s="5" t="inlineStr">
        <is>
          <t>Outstanding (batch B32)</t>
        </is>
      </c>
      <c r="F106" s="5" t="inlineStr">
        <is>
          <t>Not researched</t>
        </is>
      </c>
      <c r="G106" s="5" t="inlineStr">
        <is>
          <t>Not researched</t>
        </is>
      </c>
      <c r="H106" s="5" t="inlineStr">
        <is>
          <t>Not researched</t>
        </is>
      </c>
      <c r="I106" s="5" t="inlineStr">
        <is>
          <t>Not researched</t>
        </is>
      </c>
      <c r="J106" s="5" t="inlineStr">
        <is>
          <t>Not researched</t>
        </is>
      </c>
      <c r="K106" s="5" t="inlineStr">
        <is>
          <t>Not researched</t>
        </is>
      </c>
      <c r="L106" s="5" t="inlineStr">
        <is>
          <t>Not researched</t>
        </is>
      </c>
      <c r="M106" s="5" t="inlineStr">
        <is>
          <t>Not researched</t>
        </is>
      </c>
      <c r="N106" s="5" t="n">
        <v>0</v>
      </c>
      <c r="O106" s="5" t="n">
        <v>0</v>
      </c>
      <c r="P106" s="5" t="n">
        <v>0</v>
      </c>
      <c r="Q106" s="5" t="n">
        <v>0</v>
      </c>
      <c r="R106" s="5" t="n"/>
    </row>
    <row r="107">
      <c r="A107" s="5" t="inlineStr">
        <is>
          <t>om-banknizwa</t>
        </is>
      </c>
      <c r="B107" s="5" t="inlineStr">
        <is>
          <t>Bank Nizwa</t>
        </is>
      </c>
      <c r="C107" s="5" t="n"/>
      <c r="D107" s="5" t="n"/>
      <c r="E107" s="5" t="inlineStr">
        <is>
          <t>Outstanding (batch B32)</t>
        </is>
      </c>
      <c r="F107" s="5" t="inlineStr">
        <is>
          <t>Not researched</t>
        </is>
      </c>
      <c r="G107" s="5" t="inlineStr">
        <is>
          <t>Not researched</t>
        </is>
      </c>
      <c r="H107" s="5" t="inlineStr">
        <is>
          <t>Not researched</t>
        </is>
      </c>
      <c r="I107" s="5" t="inlineStr">
        <is>
          <t>Not researched</t>
        </is>
      </c>
      <c r="J107" s="5" t="inlineStr">
        <is>
          <t>Not researched</t>
        </is>
      </c>
      <c r="K107" s="5" t="inlineStr">
        <is>
          <t>Not researched</t>
        </is>
      </c>
      <c r="L107" s="5" t="inlineStr">
        <is>
          <t>Not researched</t>
        </is>
      </c>
      <c r="M107" s="5" t="inlineStr">
        <is>
          <t>Not researched</t>
        </is>
      </c>
      <c r="N107" s="5" t="n">
        <v>0</v>
      </c>
      <c r="O107" s="5" t="n">
        <v>0</v>
      </c>
      <c r="P107" s="5" t="n">
        <v>0</v>
      </c>
      <c r="Q107" s="5" t="n">
        <v>0</v>
      </c>
      <c r="R107" s="5" t="n"/>
    </row>
    <row r="108">
      <c r="A108" s="5" t="inlineStr">
        <is>
          <t>intl-scb</t>
        </is>
      </c>
      <c r="B108" s="5" t="inlineStr">
        <is>
          <t>Standard Chartered (GCC)</t>
        </is>
      </c>
      <c r="C108" s="5" t="n"/>
      <c r="D108" s="5" t="n"/>
      <c r="E108" s="5" t="inlineStr">
        <is>
          <t>Outstanding (batch B33)</t>
        </is>
      </c>
      <c r="F108" s="5" t="inlineStr">
        <is>
          <t>Not researched</t>
        </is>
      </c>
      <c r="G108" s="5" t="inlineStr">
        <is>
          <t>Not researched</t>
        </is>
      </c>
      <c r="H108" s="5" t="inlineStr">
        <is>
          <t>Not researched</t>
        </is>
      </c>
      <c r="I108" s="5" t="inlineStr">
        <is>
          <t>Not researched</t>
        </is>
      </c>
      <c r="J108" s="5" t="inlineStr">
        <is>
          <t>Not researched</t>
        </is>
      </c>
      <c r="K108" s="5" t="inlineStr">
        <is>
          <t>Not researched</t>
        </is>
      </c>
      <c r="L108" s="5" t="inlineStr">
        <is>
          <t>Not researched</t>
        </is>
      </c>
      <c r="M108" s="5" t="inlineStr">
        <is>
          <t>Not researched</t>
        </is>
      </c>
      <c r="N108" s="5" t="n">
        <v>0</v>
      </c>
      <c r="O108" s="5" t="n">
        <v>0</v>
      </c>
      <c r="P108" s="5" t="n">
        <v>0</v>
      </c>
      <c r="Q108" s="5" t="n">
        <v>0</v>
      </c>
      <c r="R108" s="5" t="n"/>
    </row>
    <row r="109">
      <c r="A109" s="5" t="inlineStr">
        <is>
          <t>intl-hsbc</t>
        </is>
      </c>
      <c r="B109" s="5" t="inlineStr">
        <is>
          <t>HSBC (GCC / HSBC Bank Middle East)</t>
        </is>
      </c>
      <c r="C109" s="5" t="n"/>
      <c r="D109" s="5" t="n"/>
      <c r="E109" s="5" t="inlineStr">
        <is>
          <t>Outstanding (batch B33)</t>
        </is>
      </c>
      <c r="F109" s="5" t="inlineStr">
        <is>
          <t>Not researched</t>
        </is>
      </c>
      <c r="G109" s="5" t="inlineStr">
        <is>
          <t>Not researched</t>
        </is>
      </c>
      <c r="H109" s="5" t="inlineStr">
        <is>
          <t>Not researched</t>
        </is>
      </c>
      <c r="I109" s="5" t="inlineStr">
        <is>
          <t>Not researched</t>
        </is>
      </c>
      <c r="J109" s="5" t="inlineStr">
        <is>
          <t>Not researched</t>
        </is>
      </c>
      <c r="K109" s="5" t="inlineStr">
        <is>
          <t>Not researched</t>
        </is>
      </c>
      <c r="L109" s="5" t="inlineStr">
        <is>
          <t>Not researched</t>
        </is>
      </c>
      <c r="M109" s="5" t="inlineStr">
        <is>
          <t>Not researched</t>
        </is>
      </c>
      <c r="N109" s="5" t="n">
        <v>0</v>
      </c>
      <c r="O109" s="5" t="n">
        <v>0</v>
      </c>
      <c r="P109" s="5" t="n">
        <v>0</v>
      </c>
      <c r="Q109" s="5" t="n">
        <v>0</v>
      </c>
      <c r="R109" s="5" t="n"/>
    </row>
    <row r="110">
      <c r="A110" s="5" t="inlineStr">
        <is>
          <t>intl-citi</t>
        </is>
      </c>
      <c r="B110" s="5" t="inlineStr">
        <is>
          <t>Citi (GCC)</t>
        </is>
      </c>
      <c r="C110" s="5" t="n"/>
      <c r="D110" s="5" t="n"/>
      <c r="E110" s="5" t="inlineStr">
        <is>
          <t>Outstanding (batch B33)</t>
        </is>
      </c>
      <c r="F110" s="5" t="inlineStr">
        <is>
          <t>Not researched</t>
        </is>
      </c>
      <c r="G110" s="5" t="inlineStr">
        <is>
          <t>Not researched</t>
        </is>
      </c>
      <c r="H110" s="5" t="inlineStr">
        <is>
          <t>Not researched</t>
        </is>
      </c>
      <c r="I110" s="5" t="inlineStr">
        <is>
          <t>Not researched</t>
        </is>
      </c>
      <c r="J110" s="5" t="inlineStr">
        <is>
          <t>Not researched</t>
        </is>
      </c>
      <c r="K110" s="5" t="inlineStr">
        <is>
          <t>Not researched</t>
        </is>
      </c>
      <c r="L110" s="5" t="inlineStr">
        <is>
          <t>Not researched</t>
        </is>
      </c>
      <c r="M110" s="5" t="inlineStr">
        <is>
          <t>Not researched</t>
        </is>
      </c>
      <c r="N110" s="5" t="n">
        <v>0</v>
      </c>
      <c r="O110" s="5" t="n">
        <v>0</v>
      </c>
      <c r="P110" s="5" t="n">
        <v>0</v>
      </c>
      <c r="Q110" s="5" t="n">
        <v>0</v>
      </c>
      <c r="R110" s="5"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18" customWidth="1" min="3" max="3"/>
    <col width="34" customWidth="1" min="4" max="4"/>
    <col width="46" customWidth="1" min="5" max="5"/>
    <col width="14" customWidth="1" min="6" max="6"/>
    <col width="56" customWidth="1" min="7" max="7"/>
    <col width="11" customWidth="1" min="8" max="8"/>
    <col width="24" customWidth="1" min="9" max="9"/>
  </cols>
  <sheetData>
    <row r="1">
      <c r="A1" s="6" t="inlineStr">
        <is>
          <t>Correction log against the 7 Oct 2026 workbook</t>
        </is>
      </c>
    </row>
    <row r="2">
      <c r="A2" s="7" t="inlineStr">
        <is>
          <t>Structural fixes first, then every original field and person reconciled. Findings: Confirmed · Corrected · Updated · Could not verify · Removed.</t>
        </is>
      </c>
    </row>
    <row r="4" ht="30" customHeight="1">
      <c r="A4" s="8" t="inlineStr">
        <is>
          <t>Institution ID</t>
        </is>
      </c>
      <c r="B4" s="8" t="inlineStr">
        <is>
          <t>Institution</t>
        </is>
      </c>
      <c r="C4" s="8" t="inlineStr">
        <is>
          <t>Area</t>
        </is>
      </c>
      <c r="D4" s="8" t="inlineStr">
        <is>
          <t>Field / item</t>
        </is>
      </c>
      <c r="E4" s="8" t="inlineStr">
        <is>
          <t>Original</t>
        </is>
      </c>
      <c r="F4" s="8" t="inlineStr">
        <is>
          <t>Finding</t>
        </is>
      </c>
      <c r="G4" s="8" t="inlineStr">
        <is>
          <t>Now</t>
        </is>
      </c>
      <c r="H4" s="8" t="inlineStr">
        <is>
          <t>Materiality</t>
        </is>
      </c>
      <c r="I4" s="8" t="inlineStr">
        <is>
          <t>Source IDs</t>
        </is>
      </c>
    </row>
    <row r="5">
      <c r="A5" s="9" t="n"/>
      <c r="B5" s="9" t="inlineStr">
        <is>
          <t>Structural</t>
        </is>
      </c>
      <c r="C5" s="9" t="inlineStr">
        <is>
          <t>Workbook structure</t>
        </is>
      </c>
      <c r="D5" s="5" t="inlineStr">
        <is>
          <t>Banks!E5 'Additional names' counter</t>
        </is>
      </c>
      <c r="E5" s="5">
        <f>COUNTA(#REF!) — points to a deleted sheet</f>
        <v/>
      </c>
      <c r="F5" s="9" t="inlineStr">
        <is>
          <t>Corrected</t>
        </is>
      </c>
      <c r="G5" s="5" t="inlineStr">
        <is>
          <t>Removed. Outstanding and excluded names are listed in Coverage and Universe &amp; exclusions.</t>
        </is>
      </c>
      <c r="H5" s="9" t="inlineStr">
        <is>
          <t>Material</t>
        </is>
      </c>
      <c r="I5" s="5" t="n"/>
    </row>
    <row r="6">
      <c r="A6" s="9" t="n"/>
      <c r="B6" s="9" t="inlineStr">
        <is>
          <t>Structural</t>
        </is>
      </c>
      <c r="C6" s="9" t="inlineStr">
        <is>
          <t>Workbook structure</t>
        </is>
      </c>
      <c r="D6" s="5" t="inlineStr">
        <is>
          <t>Size metrics!P8:Q77 (FX lookups, 140 cells)</t>
        </is>
      </c>
      <c r="E6" s="5">
        <f>INDEX(#REF!,…) — FX sheet deleted, so every USD equivalent (col O) and the Banks USD columns (V–Z) evaluate to errors</f>
        <v/>
      </c>
      <c r="F6" s="9" t="inlineStr">
        <is>
          <t>Corrected</t>
        </is>
      </c>
      <c r="G6" s="5" t="inlineStr">
        <is>
          <t>New FX rates sheet with official pegs and dated CBK KWD rates; USD computed per period (period-end for balance sheet, period average for KWD income).</t>
        </is>
      </c>
      <c r="H6" s="9" t="inlineStr">
        <is>
          <t>Material</t>
        </is>
      </c>
      <c r="I6" s="5" t="n"/>
    </row>
    <row r="7">
      <c r="A7" s="9" t="n"/>
      <c r="B7" s="9" t="inlineStr">
        <is>
          <t>Structural</t>
        </is>
      </c>
      <c r="C7" s="9" t="inlineStr">
        <is>
          <t>Workbook structure</t>
        </is>
      </c>
      <c r="D7" s="5" t="inlineStr">
        <is>
          <t>Source references S001–S156</t>
        </is>
      </c>
      <c r="E7" s="5" t="inlineStr">
        <is>
          <t>153 source IDs are cited in Banks/Management but the workbook has no source register sheet; only the 70 Size-metric rows carry URLs</t>
        </is>
      </c>
      <c r="F7" s="9" t="inlineStr">
        <is>
          <t>Corrected</t>
        </is>
      </c>
      <c r="G7" s="5" t="inlineStr">
        <is>
          <t>New Source register with title, publisher, URL, document type, tier, publication and check dates; every fact cites register IDs.</t>
        </is>
      </c>
      <c r="H7" s="9" t="inlineStr">
        <is>
          <t>Material</t>
        </is>
      </c>
      <c r="I7" s="5" t="n"/>
    </row>
    <row r="8">
      <c r="A8" s="9" t="n"/>
      <c r="B8" s="9" t="inlineStr">
        <is>
          <t>Structural</t>
        </is>
      </c>
      <c r="C8" s="9" t="inlineStr">
        <is>
          <t>Coverage</t>
        </is>
      </c>
      <c r="D8" s="5" t="inlineStr">
        <is>
          <t>Banks sheet rows</t>
        </is>
      </c>
      <c r="E8" s="5" t="inlineStr">
        <is>
          <t>Header says '24 institutions' but Banks has 15 rows; ADCB, BSF, CBD, FAB, GIB, NBF, QNB, Standard Chartered and Dhabi appear only in Management / Size metrics</t>
        </is>
      </c>
      <c r="F8" s="9" t="inlineStr">
        <is>
          <t>Corrected</t>
        </is>
      </c>
      <c r="G8" s="5" t="inlineStr">
        <is>
          <t>All carried into full institution records. Dhabi Ltd is a 100% Finance House subsidiary and is folded into Finance House.</t>
        </is>
      </c>
      <c r="H8" s="9" t="inlineStr">
        <is>
          <t>Material</t>
        </is>
      </c>
      <c r="I8" s="5" t="n"/>
    </row>
    <row r="9">
      <c r="A9" s="9" t="n"/>
      <c r="B9" s="9" t="inlineStr">
        <is>
          <t>Structural</t>
        </is>
      </c>
      <c r="C9" s="9" t="inlineStr">
        <is>
          <t>Consistency</t>
        </is>
      </c>
      <c r="D9" s="5" t="inlineStr">
        <is>
          <t>Metric keys</t>
        </is>
      </c>
      <c r="E9" s="5" t="inlineStr">
        <is>
          <t>Burgan rows use 'burgan_assets_20260630' while others use 'INST::Measure'</t>
        </is>
      </c>
      <c r="F9" s="9" t="inlineStr">
        <is>
          <t>Corrected</t>
        </is>
      </c>
      <c r="G9" s="5" t="inlineStr">
        <is>
          <t>Standard metric keys (total_assets, customer_deposits, …).</t>
        </is>
      </c>
      <c r="H9" s="9" t="inlineStr">
        <is>
          <t>Minor</t>
        </is>
      </c>
      <c r="I9" s="5" t="n"/>
    </row>
    <row r="10">
      <c r="A10" s="9" t="n"/>
      <c r="B10" s="9" t="inlineStr">
        <is>
          <t>Structural</t>
        </is>
      </c>
      <c r="C10" s="9" t="inlineStr">
        <is>
          <t>Consistency</t>
        </is>
      </c>
      <c r="D10" s="5" t="inlineStr">
        <is>
          <t>LinkedIn status (Management col G)</t>
        </is>
      </c>
      <c r="E10" s="5" t="inlineStr">
        <is>
          <t>14 different phrasings</t>
        </is>
      </c>
      <c r="F10" s="9" t="inlineStr">
        <is>
          <t>Corrected</t>
        </is>
      </c>
      <c r="G10" s="5" t="inlineStr">
        <is>
          <t>Four values: Verified (official link) · Verified (profile/search match) · Not verified · Not checked.</t>
        </is>
      </c>
      <c r="H10" s="9" t="inlineStr">
        <is>
          <t>Minor</t>
        </is>
      </c>
      <c r="I10" s="5" t="n"/>
    </row>
    <row r="11">
      <c r="A11" s="9" t="n"/>
      <c r="B11" s="9" t="inlineStr">
        <is>
          <t>Structural</t>
        </is>
      </c>
      <c r="C11" s="9" t="inlineStr">
        <is>
          <t>Consistency</t>
        </is>
      </c>
      <c r="D11" s="5" t="inlineStr">
        <is>
          <t>Role status (Management col I)</t>
        </is>
      </c>
      <c r="E11" s="5" t="inlineStr">
        <is>
          <t>14 different phrasings</t>
        </is>
      </c>
      <c r="F11" s="9" t="inlineStr">
        <is>
          <t>Corrected</t>
        </is>
      </c>
      <c r="G11" s="5" t="inlineStr">
        <is>
          <t>Four values: Verified current · Requires verification · Conflicting sources · Departed, plus dated role evidence.</t>
        </is>
      </c>
      <c r="H11" s="9" t="inlineStr">
        <is>
          <t>Minor</t>
        </is>
      </c>
      <c r="I11" s="5" t="n"/>
    </row>
    <row r="12">
      <c r="A12" s="9" t="n"/>
      <c r="B12" s="9" t="inlineStr">
        <is>
          <t>Structural</t>
        </is>
      </c>
      <c r="C12" s="9" t="inlineStr">
        <is>
          <t>Dates</t>
        </is>
      </c>
      <c r="D12" s="5" t="inlineStr">
        <is>
          <t>'Deposits/Assets in original USD estimate' rows (NBK, KFH, Boubyan, QIB ×2, CBQ ×2)</t>
        </is>
      </c>
      <c r="E12" s="5" t="inlineStr">
        <is>
          <t>Pre-refresh approximations from email research stamped 30 Jun 2026</t>
        </is>
      </c>
      <c r="F12" s="9" t="inlineStr">
        <is>
          <t>Removed</t>
        </is>
      </c>
      <c r="G12" s="5" t="inlineStr">
        <is>
          <t>Superseded by sourced figures at the standard date; not carried into the database.</t>
        </is>
      </c>
      <c r="H12" s="9" t="inlineStr">
        <is>
          <t>Material</t>
        </is>
      </c>
      <c r="I12" s="5" t="n"/>
    </row>
    <row r="13">
      <c r="A13" s="9" t="n"/>
      <c r="B13" s="9" t="inlineStr">
        <is>
          <t>Structural</t>
        </is>
      </c>
      <c r="C13" s="9" t="inlineStr">
        <is>
          <t>Scope</t>
        </is>
      </c>
      <c r="D13" s="5" t="inlineStr">
        <is>
          <t>Wio 'Arta partnership accounts' and 'Arta partnership AUM' rows</t>
        </is>
      </c>
      <c r="E13" s="5" t="inlineStr">
        <is>
          <t>Internal ARTA strategy figures stored as Wio institution metrics</t>
        </is>
      </c>
      <c r="F13" s="9" t="inlineStr">
        <is>
          <t>Corrected</t>
        </is>
      </c>
      <c r="G13" s="5" t="inlineStr">
        <is>
          <t>Moved to Relationship contacts (internal); not institution disclosures.</t>
        </is>
      </c>
      <c r="H13" s="9" t="inlineStr">
        <is>
          <t>Material</t>
        </is>
      </c>
      <c r="I13" s="5" t="n"/>
    </row>
    <row r="14">
      <c r="A14" s="9" t="n"/>
      <c r="B14" s="9" t="inlineStr">
        <is>
          <t>Structural</t>
        </is>
      </c>
      <c r="C14" s="9" t="inlineStr">
        <is>
          <t>Dates</t>
        </is>
      </c>
      <c r="D14" s="5" t="inlineStr">
        <is>
          <t>Lesha net profit 'As of' = text 'H1 2026'; ENBD customers undated</t>
        </is>
      </c>
      <c r="E14" s="5" t="inlineStr">
        <is>
          <t>Mixed text/blank in a date column</t>
        </is>
      </c>
      <c r="F14" s="9" t="inlineStr">
        <is>
          <t>Corrected</t>
        </is>
      </c>
      <c r="G14" s="5" t="inlineStr">
        <is>
          <t>Explicit period end, label and period type for every data point.</t>
        </is>
      </c>
      <c r="H14" s="9" t="inlineStr">
        <is>
          <t>Minor</t>
        </is>
      </c>
      <c r="I14" s="5" t="n"/>
    </row>
    <row r="15">
      <c r="A15" s="9" t="n"/>
      <c r="B15" s="9" t="inlineStr">
        <is>
          <t>Structural</t>
        </is>
      </c>
      <c r="C15" s="9" t="inlineStr">
        <is>
          <t>Sources</t>
        </is>
      </c>
      <c r="D15" s="5" t="inlineStr">
        <is>
          <t>ENBD customers sourced to company LinkedIn page</t>
        </is>
      </c>
      <c r="E15" s="5" t="inlineStr">
        <is>
          <t>Undated, tier-4 source for a financial metric</t>
        </is>
      </c>
      <c r="F15" s="15" t="inlineStr">
        <is>
          <t>Requires verification</t>
        </is>
      </c>
      <c r="G15" s="5" t="inlineStr">
        <is>
          <t>Replaced where an official dated figure exists; see Financials.</t>
        </is>
      </c>
      <c r="H15" s="9" t="inlineStr">
        <is>
          <t>Minor</t>
        </is>
      </c>
      <c r="I15" s="5" t="n"/>
    </row>
    <row r="16">
      <c r="A16" s="9" t="n"/>
      <c r="B16" s="9" t="inlineStr">
        <is>
          <t>Structural</t>
        </is>
      </c>
      <c r="C16" s="9" t="inlineStr">
        <is>
          <t>Privacy</t>
        </is>
      </c>
      <c r="D16" s="5" t="inlineStr">
        <is>
          <t>Management 'Business email from prior work' (4 rows) and Gmail/Granola links</t>
        </is>
      </c>
      <c r="E16" s="5" t="inlineStr">
        <is>
          <t>Internal correspondence data mixed with public research</t>
        </is>
      </c>
      <c r="F16" s="9" t="inlineStr">
        <is>
          <t>Corrected</t>
        </is>
      </c>
      <c r="G16" s="5" t="inlineStr">
        <is>
          <t>Kept only in 'Relationship contacts (internal)'; excluded from website and exports.</t>
        </is>
      </c>
      <c r="H16" s="9" t="inlineStr">
        <is>
          <t>Minor</t>
        </is>
      </c>
      <c r="I16" s="5" t="n"/>
    </row>
    <row r="17">
      <c r="A17" s="9" t="n"/>
      <c r="B17" s="9" t="inlineStr">
        <is>
          <t>Structural</t>
        </is>
      </c>
      <c r="C17" s="9" t="inlineStr">
        <is>
          <t>Scope</t>
        </is>
      </c>
      <c r="D17" s="5" t="inlineStr">
        <is>
          <t>Standard Chartered figures</t>
        </is>
      </c>
      <c r="E17" s="5" t="inlineStr">
        <is>
          <t>Group-wide global balance sheet (USD 993bn) shown alongside GCC banks</t>
        </is>
      </c>
      <c r="F17" s="9" t="inlineStr">
        <is>
          <t>Corrected</t>
        </is>
      </c>
      <c r="G17" s="5" t="inlineStr">
        <is>
          <t>Categorised as 'International bank (GCC operations)'; group figures flagged as global scope.</t>
        </is>
      </c>
      <c r="H17" s="9" t="inlineStr">
        <is>
          <t>Material</t>
        </is>
      </c>
      <c r="I17" s="5" t="n"/>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G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24" customWidth="1" min="3" max="3"/>
    <col width="22" customWidth="1" min="4" max="4"/>
    <col width="80" customWidth="1" min="5" max="5"/>
    <col width="46" customWidth="1" min="6" max="6"/>
    <col width="24" customWidth="1" min="7" max="7"/>
  </cols>
  <sheetData>
    <row r="1">
      <c r="A1" s="6" t="inlineStr">
        <is>
          <t>Discrepancies, open items and QA flags</t>
        </is>
      </c>
    </row>
    <row r="2">
      <c r="A2" s="7" t="inlineStr">
        <is>
          <t>Conflicting sources with both references, what could not be verified, and automated QA flags.</t>
        </is>
      </c>
    </row>
    <row r="4" ht="30" customHeight="1">
      <c r="A4" s="8" t="inlineStr">
        <is>
          <t>Kind</t>
        </is>
      </c>
      <c r="B4" s="8" t="inlineStr">
        <is>
          <t>Institution ID</t>
        </is>
      </c>
      <c r="C4" s="8" t="inlineStr">
        <is>
          <t>Institution</t>
        </is>
      </c>
      <c r="D4" s="8" t="inlineStr">
        <is>
          <t>Field</t>
        </is>
      </c>
      <c r="E4" s="8" t="inlineStr">
        <is>
          <t>Detail</t>
        </is>
      </c>
      <c r="F4" s="8" t="inlineStr">
        <is>
          <t>Resolution</t>
        </is>
      </c>
      <c r="G4" s="8" t="inlineStr">
        <is>
          <t>Source IDs</t>
        </is>
      </c>
    </row>
    <row r="5">
      <c r="A5" s="9" t="inlineStr">
        <is>
          <t>Discrepancy</t>
        </is>
      </c>
      <c r="B5" s="9" t="inlineStr">
        <is>
          <t>ae-sarwa</t>
        </is>
      </c>
      <c r="C5" s="9" t="inlineStr">
        <is>
          <t>Sarwa</t>
        </is>
      </c>
      <c r="D5" s="9" t="inlineStr">
        <is>
          <t>Regulators / DFSA status</t>
        </is>
      </c>
      <c r="E5" s="5" t="inlineStr">
        <is>
          <t>llms.txt (S12) still says Sarwa Digital Wealth Limited is DFSA-regulated, but the DFSA register (search snippet, S24) lists that firm as withdrawn from 14 Jun 2024. All current website footers name only FSRA (S1).</t>
        </is>
      </c>
      <c r="F5" s="5" t="inlineStr">
        <is>
          <t>Recorded FSRA as the only current regulator; DFSA status flagged for direct register check (register pages returned 403).</t>
        </is>
      </c>
      <c r="G5" s="9" t="inlineStr">
        <is>
          <t>ae-sarwa:S12; ae-sarwa:S24; ae-sarwa:S1</t>
        </is>
      </c>
    </row>
    <row r="6">
      <c r="A6" s="9" t="inlineStr">
        <is>
          <t>Discrepancy</t>
        </is>
      </c>
      <c r="B6" s="9" t="inlineStr">
        <is>
          <t>ae-sarwa</t>
        </is>
      </c>
      <c r="C6" s="9" t="inlineStr">
        <is>
          <t>Sarwa</t>
        </is>
      </c>
      <c r="D6" s="9" t="inlineStr">
        <is>
          <t>FSRA endorsements</t>
        </is>
      </c>
      <c r="E6" s="5" t="inlineStr">
        <is>
          <t>Sarwa says it holds Retail Client and Holding &amp; Controlling Client Investments and Money endorsements (S1, S5), but the FSRA register page as retrieved showed 'Endorsements: none listed' (S3).</t>
        </is>
      </c>
      <c r="F6" s="5" t="inlineStr">
        <is>
          <t>Unresolved; probably a rendering limit of the register page. Licence category 3C and the three regulated activities are taken from the register.</t>
        </is>
      </c>
      <c r="G6" s="9" t="inlineStr">
        <is>
          <t>ae-sarwa:S1; ae-sarwa:S3; ae-sarwa:S5</t>
        </is>
      </c>
    </row>
    <row r="7">
      <c r="A7" s="9" t="inlineStr">
        <is>
          <t>Discrepancy</t>
        </is>
      </c>
      <c r="B7" s="9" t="inlineStr">
        <is>
          <t>ae-sarwa</t>
        </is>
      </c>
      <c r="C7" s="9" t="inlineStr">
        <is>
          <t>Sarwa</t>
        </is>
      </c>
      <c r="D7" s="9" t="inlineStr">
        <is>
          <t>AUM vs client assets</t>
        </is>
      </c>
      <c r="E7" s="5" t="inlineStr">
        <is>
          <t>Blog labels USD 880m 'AUM' at end 2025 (S4). The May 2026 releases define the USD 1bn as client assets incl. self-directed holdings and cash (S15), while Forbes ME calls it 'client assets under management (AUM)' (S17).</t>
        </is>
      </c>
      <c r="F7" s="5" t="inlineStr">
        <is>
          <t>Recorded USD 1bn as client_assets (Verified as a company claim) and USD 880m as aum with 'Requires verification'.</t>
        </is>
      </c>
      <c r="G7" s="9" t="inlineStr">
        <is>
          <t>ae-sarwa:S4; ae-sarwa:S15; ae-sarwa:S17</t>
        </is>
      </c>
    </row>
    <row r="8">
      <c r="A8" s="9" t="inlineStr">
        <is>
          <t>Discrepancy</t>
        </is>
      </c>
      <c r="B8" s="9" t="inlineStr">
        <is>
          <t>ae-sarwa</t>
        </is>
      </c>
      <c r="C8" s="9" t="inlineStr">
        <is>
          <t>Sarwa</t>
        </is>
      </c>
      <c r="D8" s="9" t="inlineStr">
        <is>
          <t>Trading volume</t>
        </is>
      </c>
      <c r="E8" s="5" t="inlineStr">
        <is>
          <t>USD 3bn 'in a single year' 2025 (S4) vs 'nearly USD 3bn' by Dec 2025, unclear if cumulative (S17) vs USD 3bn+ cumulative through Alpaca by Oct 2024 (S21).</t>
        </is>
      </c>
      <c r="F8" s="5" t="inlineStr">
        <is>
          <t>Recorded as Conflicting sources.</t>
        </is>
      </c>
      <c r="G8" s="9" t="inlineStr">
        <is>
          <t>ae-sarwa:S4; ae-sarwa:S17; ae-sarwa:S21</t>
        </is>
      </c>
    </row>
    <row r="9">
      <c r="A9" s="9" t="inlineStr">
        <is>
          <t>Discrepancy</t>
        </is>
      </c>
      <c r="B9" s="9" t="inlineStr">
        <is>
          <t>ae-sarwa</t>
        </is>
      </c>
      <c r="C9" s="9" t="inlineStr">
        <is>
          <t>Sarwa</t>
        </is>
      </c>
      <c r="D9" s="9" t="inlineStr">
        <is>
          <t>Profitability timing</t>
        </is>
      </c>
      <c r="E9" s="5" t="inlineStr">
        <is>
          <t>Blog: first quarterly profit announced May 2024; full-year profitability reported at end 2025 (S4). FF News: raised USD 25m 'before reaching profitability in 2024' (S15).</t>
        </is>
      </c>
      <c r="F9" s="5" t="inlineStr">
        <is>
          <t>No audited figures; recorded only qualitatively in disclosure_checks.</t>
        </is>
      </c>
      <c r="G9" s="9" t="inlineStr">
        <is>
          <t>ae-sarwa:S4; ae-sarwa:S15</t>
        </is>
      </c>
    </row>
    <row r="10">
      <c r="A10" s="9" t="inlineStr">
        <is>
          <t>Discrepancy</t>
        </is>
      </c>
      <c r="B10" s="9" t="inlineStr">
        <is>
          <t>ae-sarwa</t>
        </is>
      </c>
      <c r="C10" s="9" t="inlineStr">
        <is>
          <t>Sarwa</t>
        </is>
      </c>
      <c r="D10" s="9" t="inlineStr">
        <is>
          <t>Sarwa Trade universe and pricing</t>
        </is>
      </c>
      <c r="E10" s="5" t="inlineStr">
        <is>
          <t>Trade page: 10,000+ US stocks &amp; ETFs, USD 1 or 0.25% commission (S9, S11). llms.txt: 5,000+ and 'zero-commission' (S12).</t>
        </is>
      </c>
      <c r="F10" s="5" t="inlineStr">
        <is>
          <t>Used the product and pricing pages.</t>
        </is>
      </c>
      <c r="G10" s="9" t="inlineStr">
        <is>
          <t>ae-sarwa:S9; ae-sarwa:S11; ae-sarwa:S12</t>
        </is>
      </c>
    </row>
    <row r="11">
      <c r="A11" s="9" t="inlineStr">
        <is>
          <t>Discrepancy</t>
        </is>
      </c>
      <c r="B11" s="9" t="inlineStr">
        <is>
          <t>ae-sarwa</t>
        </is>
      </c>
      <c r="C11" s="9" t="inlineStr">
        <is>
          <t>Sarwa</t>
        </is>
      </c>
      <c r="D11" s="9" t="inlineStr">
        <is>
          <t>Nadine Mezher title</t>
        </is>
      </c>
      <c r="E11" s="5" t="inlineStr">
        <is>
          <t>CMO (Entrepreneur ME, Jul 2026) vs 'previous CMO' (FF News, May 2026) vs 'Executive Board Director' (LinkedIn snippet).</t>
        </is>
      </c>
      <c r="F11" s="5" t="inlineStr">
        <is>
          <t>role_status 'Conflicting sources'.</t>
        </is>
      </c>
      <c r="G11" s="9" t="inlineStr">
        <is>
          <t>ae-sarwa:S25; ae-sarwa:S15; ae-sarwa:S29</t>
        </is>
      </c>
    </row>
    <row r="12">
      <c r="A12" s="9" t="inlineStr">
        <is>
          <t>Open item</t>
        </is>
      </c>
      <c r="B12" s="9" t="inlineStr">
        <is>
          <t>ae-sarwa</t>
        </is>
      </c>
      <c r="C12" s="9" t="inlineStr">
        <is>
          <t>Sarwa</t>
        </is>
      </c>
      <c r="D12" s="9" t="n"/>
      <c r="E12" s="5" t="inlineStr">
        <is>
          <t>DFSA public register and DFSA/ADGM enforcement pages returned HTTP 403. Confirm the withdrawal of Sarwa Digital Wealth Limited (F004501, 14 Jun 2024) directly on the DFSA register.</t>
        </is>
      </c>
      <c r="F12" s="5" t="n"/>
      <c r="G12" s="9" t="n"/>
    </row>
    <row r="13">
      <c r="A13" s="9" t="inlineStr">
        <is>
          <t>Open item</t>
        </is>
      </c>
      <c r="B13" s="9" t="inlineStr">
        <is>
          <t>ae-sarwa</t>
        </is>
      </c>
      <c r="C13" s="9" t="inlineStr">
        <is>
          <t>Sarwa</t>
        </is>
      </c>
      <c r="D13" s="9" t="n"/>
      <c r="E13" s="5" t="inlineStr">
        <is>
          <t>No SCA (UAE onshore) licence found in English or Arabic searches. Sarwa serves UAE residents from ADGM only.</t>
        </is>
      </c>
      <c r="F13" s="5" t="n"/>
      <c r="G13" s="9" t="n"/>
    </row>
    <row r="14">
      <c r="A14" s="9" t="inlineStr">
        <is>
          <t>Open item</t>
        </is>
      </c>
      <c r="B14" s="9" t="inlineStr">
        <is>
          <t>ae-sarwa</t>
        </is>
      </c>
      <c r="C14" s="9" t="inlineStr">
        <is>
          <t>Sarwa</t>
        </is>
      </c>
      <c r="D14" s="9" t="n"/>
      <c r="E14" s="5" t="inlineStr">
        <is>
          <t>Regulatory basis for Sarwa Crypto is not established: the FSRA register lists no virtual-asset activity. Crypto is provided via Alpaca Crypto per the safety page.</t>
        </is>
      </c>
      <c r="F14" s="5" t="n"/>
      <c r="G14" s="9" t="n"/>
    </row>
    <row r="15">
      <c r="A15" s="9" t="inlineStr">
        <is>
          <t>Open item</t>
        </is>
      </c>
      <c r="B15" s="9" t="inlineStr">
        <is>
          <t>ae-sarwa</t>
        </is>
      </c>
      <c r="C15" s="9" t="inlineStr">
        <is>
          <t>Sarwa</t>
        </is>
      </c>
      <c r="D15" s="9" t="n"/>
      <c r="E15" s="5" t="inlineStr">
        <is>
          <t>Saudi CMA FinTech ExPermit (Jan 2021): current status (graduated, lapsed or active) not found.</t>
        </is>
      </c>
      <c r="F15" s="5" t="n"/>
      <c r="G15" s="9" t="n"/>
    </row>
    <row r="16">
      <c r="A16" s="9" t="inlineStr">
        <is>
          <t>Open item</t>
        </is>
      </c>
      <c r="B16" s="9" t="inlineStr">
        <is>
          <t>ae-sarwa</t>
        </is>
      </c>
      <c r="C16" s="9" t="inlineStr">
        <is>
          <t>Sarwa</t>
        </is>
      </c>
      <c r="D16" s="9" t="n"/>
      <c r="E16" s="5" t="inlineStr">
        <is>
          <t>No official leadership or board page. Other leaders named in LinkedIn snippets (e.g. Elizabeth Donaghy, Amen Ghebre) were not verified, and a 'Head of Investments' name surfaced only in a search summary and could not be confirmed.</t>
        </is>
      </c>
      <c r="F16" s="5" t="n"/>
      <c r="G16" s="9" t="n"/>
    </row>
    <row r="17">
      <c r="A17" s="9" t="inlineStr">
        <is>
          <t>Open item</t>
        </is>
      </c>
      <c r="B17" s="9" t="inlineStr">
        <is>
          <t>ae-sarwa</t>
        </is>
      </c>
      <c r="C17" s="9" t="inlineStr">
        <is>
          <t>Sarwa</t>
        </is>
      </c>
      <c r="D17" s="9" t="n"/>
      <c r="E17" s="5" t="inlineStr">
        <is>
          <t>Holding-company name and shareholder percentages not disclosed. The 2024 regulatory notices refer to a 'parent entity'; the ADGM final notice PDF could not be parsed.</t>
        </is>
      </c>
      <c r="F17" s="5" t="n"/>
      <c r="G17" s="9" t="n"/>
    </row>
    <row r="18">
      <c r="A18" s="9" t="inlineStr">
        <is>
          <t>Open item</t>
        </is>
      </c>
      <c r="B18" s="9" t="inlineStr">
        <is>
          <t>ae-sarwa</t>
        </is>
      </c>
      <c r="C18" s="9" t="inlineStr">
        <is>
          <t>Sarwa</t>
        </is>
      </c>
      <c r="D18" s="9" t="n"/>
      <c r="E18" s="5" t="inlineStr">
        <is>
          <t>Saxo Bank / BMO Harris custody statements come from a safety page first published Nov 2020 (© 2020–2026). Confirm the current custody set-up.</t>
        </is>
      </c>
      <c r="F18" s="5" t="n"/>
      <c r="G18" s="9" t="n"/>
    </row>
    <row r="19">
      <c r="A19" s="9" t="inlineStr">
        <is>
          <t>Open item</t>
        </is>
      </c>
      <c r="B19" s="9" t="inlineStr">
        <is>
          <t>ae-sarwa</t>
        </is>
      </c>
      <c r="C19" s="9" t="inlineStr">
        <is>
          <t>Sarwa</t>
        </is>
      </c>
      <c r="D19" s="9" t="n"/>
      <c r="E19" s="5" t="inlineStr">
        <is>
          <t>Mark Chahwan education/career details are only in a LinkedIn search snippet (profile not opened). Education left null.</t>
        </is>
      </c>
      <c r="F19" s="5" t="n"/>
      <c r="G19" s="9" t="n"/>
    </row>
    <row r="20">
      <c r="A20" s="9" t="inlineStr">
        <is>
          <t>QA: role not verified current</t>
        </is>
      </c>
      <c r="B20" s="9" t="inlineStr">
        <is>
          <t>ae-sarwa</t>
        </is>
      </c>
      <c r="C20" s="9" t="n"/>
      <c r="D20" s="9" t="n"/>
      <c r="E20" s="5" t="inlineStr">
        <is>
          <t>ae-sarwa Nadine Mezher: Conflicting sources</t>
        </is>
      </c>
      <c r="F20" s="5" t="n"/>
      <c r="G20" s="9" t="n"/>
    </row>
    <row r="21">
      <c r="A21" s="9" t="inlineStr">
        <is>
          <t>QA: role not verified current</t>
        </is>
      </c>
      <c r="B21" s="9" t="inlineStr">
        <is>
          <t>ae-sarwa</t>
        </is>
      </c>
      <c r="C21" s="9" t="n"/>
      <c r="D21" s="9" t="n"/>
      <c r="E21" s="5" t="inlineStr">
        <is>
          <t>ae-sarwa Robin Harb: Requires verification</t>
        </is>
      </c>
      <c r="F21" s="5" t="n"/>
      <c r="G21" s="9" t="n"/>
    </row>
    <row r="22">
      <c r="A22" s="9" t="inlineStr">
        <is>
          <t>QA: role not verified current</t>
        </is>
      </c>
      <c r="B22" s="9" t="inlineStr">
        <is>
          <t>ae-sarwa</t>
        </is>
      </c>
      <c r="C22" s="9" t="n"/>
      <c r="D22" s="9" t="n"/>
      <c r="E22" s="5" t="inlineStr">
        <is>
          <t>ae-sarwa Osama Al Ghoussein: Requires verification</t>
        </is>
      </c>
      <c r="F22" s="5" t="n"/>
      <c r="G22" s="9" t="n"/>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L3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3" customWidth="1" min="2" max="2"/>
    <col width="24" customWidth="1" min="3" max="3"/>
    <col width="50" customWidth="1" min="4" max="4"/>
    <col width="24" customWidth="1" min="5" max="5"/>
    <col width="24" customWidth="1" min="6" max="6"/>
    <col width="6" customWidth="1" min="7" max="7"/>
    <col width="11" customWidth="1" min="8" max="8"/>
    <col width="11" customWidth="1" min="9" max="9"/>
    <col width="8" customWidth="1" min="10" max="10"/>
    <col width="11" customWidth="1" min="11" max="11"/>
    <col width="60" customWidth="1" min="12" max="12"/>
  </cols>
  <sheetData>
    <row r="1">
      <c r="A1" s="6" t="inlineStr">
        <is>
          <t>Source register</t>
        </is>
      </c>
    </row>
    <row r="2">
      <c r="A2" s="7" t="inlineStr">
        <is>
          <t>Tier 1 audited statements/filings · 2 official sites, releases, presentations · 3 regulators · 4 official bios/verified LinkedIn · 5 reputable news.</t>
        </is>
      </c>
    </row>
    <row r="4" ht="30" customHeight="1">
      <c r="A4" s="8" t="inlineStr">
        <is>
          <t>Source ID</t>
        </is>
      </c>
      <c r="B4" s="8" t="inlineStr">
        <is>
          <t>Institution ID</t>
        </is>
      </c>
      <c r="C4" s="8" t="inlineStr">
        <is>
          <t>Institution</t>
        </is>
      </c>
      <c r="D4" s="8" t="inlineStr">
        <is>
          <t>Title</t>
        </is>
      </c>
      <c r="E4" s="8" t="inlineStr">
        <is>
          <t>Publisher</t>
        </is>
      </c>
      <c r="F4" s="8" t="inlineStr">
        <is>
          <t>Document type</t>
        </is>
      </c>
      <c r="G4" s="8" t="inlineStr">
        <is>
          <t>Tier</t>
        </is>
      </c>
      <c r="H4" s="8" t="inlineStr">
        <is>
          <t>Published</t>
        </is>
      </c>
      <c r="I4" s="8" t="inlineStr">
        <is>
          <t>Checked</t>
        </is>
      </c>
      <c r="J4" s="8" t="inlineStr">
        <is>
          <t>Language</t>
        </is>
      </c>
      <c r="K4" s="8" t="inlineStr">
        <is>
          <t>Link check</t>
        </is>
      </c>
      <c r="L4" s="8" t="inlineStr">
        <is>
          <t>URL</t>
        </is>
      </c>
    </row>
    <row r="5">
      <c r="A5" s="9" t="inlineStr">
        <is>
          <t>ae-sarwa:S1</t>
        </is>
      </c>
      <c r="B5" s="9" t="inlineStr">
        <is>
          <t>ae-sarwa</t>
        </is>
      </c>
      <c r="C5" s="9" t="inlineStr">
        <is>
          <t>Sarwa</t>
        </is>
      </c>
      <c r="D5" s="5" t="inlineStr">
        <is>
          <t>Sarwa | Invest, Trade and Save (homepage, incl. regulatory footer)</t>
        </is>
      </c>
      <c r="E5" s="9" t="inlineStr">
        <is>
          <t>Sarwa</t>
        </is>
      </c>
      <c r="F5" s="9" t="inlineStr">
        <is>
          <t>Official website</t>
        </is>
      </c>
      <c r="G5" s="9" t="n">
        <v>2</v>
      </c>
      <c r="H5" s="9" t="n"/>
      <c r="I5" s="9" t="inlineStr">
        <is>
          <t>2026-10-12</t>
        </is>
      </c>
      <c r="J5" s="9" t="inlineStr">
        <is>
          <t>en</t>
        </is>
      </c>
      <c r="K5" s="9" t="inlineStr">
        <is>
          <t>Not checked</t>
        </is>
      </c>
      <c r="L5" s="10" t="inlineStr">
        <is>
          <t>https://www.sarwa.co/</t>
        </is>
      </c>
    </row>
    <row r="6">
      <c r="A6" s="9" t="inlineStr">
        <is>
          <t>ae-sarwa:S2</t>
        </is>
      </c>
      <c r="B6" s="9" t="inlineStr">
        <is>
          <t>ae-sarwa</t>
        </is>
      </c>
      <c r="C6" s="9" t="inlineStr">
        <is>
          <t>Sarwa</t>
        </is>
      </c>
      <c r="D6" s="5" t="inlineStr">
        <is>
          <t>About Sarwa</t>
        </is>
      </c>
      <c r="E6" s="9" t="inlineStr">
        <is>
          <t>Sarwa</t>
        </is>
      </c>
      <c r="F6" s="9" t="inlineStr">
        <is>
          <t>Official website</t>
        </is>
      </c>
      <c r="G6" s="9" t="n">
        <v>2</v>
      </c>
      <c r="H6" s="9" t="n"/>
      <c r="I6" s="9" t="inlineStr">
        <is>
          <t>2026-10-12</t>
        </is>
      </c>
      <c r="J6" s="9" t="inlineStr">
        <is>
          <t>en</t>
        </is>
      </c>
      <c r="K6" s="9" t="inlineStr">
        <is>
          <t>Not checked</t>
        </is>
      </c>
      <c r="L6" s="10" t="inlineStr">
        <is>
          <t>https://www.sarwa.co/en/about</t>
        </is>
      </c>
    </row>
    <row r="7">
      <c r="A7" s="9" t="inlineStr">
        <is>
          <t>ae-sarwa:S3</t>
        </is>
      </c>
      <c r="B7" s="9" t="inlineStr">
        <is>
          <t>ae-sarwa</t>
        </is>
      </c>
      <c r="C7" s="9" t="inlineStr">
        <is>
          <t>Sarwa</t>
        </is>
      </c>
      <c r="D7" s="5" t="inlineStr">
        <is>
          <t>FSRA Public Register: Sarwa Digital Wealth (Capital) Limited (FSP 190037)</t>
        </is>
      </c>
      <c r="E7" s="9" t="inlineStr">
        <is>
          <t>ADGM Financial Services Regulatory Authority</t>
        </is>
      </c>
      <c r="F7" s="9" t="inlineStr">
        <is>
          <t>Regulator public register</t>
        </is>
      </c>
      <c r="G7" s="9" t="n">
        <v>3</v>
      </c>
      <c r="H7" s="9" t="n"/>
      <c r="I7" s="9" t="inlineStr">
        <is>
          <t>2026-10-12</t>
        </is>
      </c>
      <c r="J7" s="9" t="inlineStr">
        <is>
          <t>en</t>
        </is>
      </c>
      <c r="K7" s="9" t="inlineStr">
        <is>
          <t>Not checked</t>
        </is>
      </c>
      <c r="L7" s="10" t="inlineStr">
        <is>
          <t>https://www.adgm.com/public-registers/fsra/fsf/sarwa-digital-wealth-capital-limited</t>
        </is>
      </c>
    </row>
    <row r="8">
      <c r="A8" s="9" t="inlineStr">
        <is>
          <t>ae-sarwa:S4</t>
        </is>
      </c>
      <c r="B8" s="9" t="inlineStr">
        <is>
          <t>ae-sarwa</t>
        </is>
      </c>
      <c r="C8" s="9" t="inlineStr">
        <is>
          <t>Sarwa</t>
        </is>
      </c>
      <c r="D8" s="5" t="inlineStr">
        <is>
          <t>What Is Sarwa? A Complete Guide to the UAE's All-in-One Investment Platform</t>
        </is>
      </c>
      <c r="E8" s="9" t="inlineStr">
        <is>
          <t>Sarwa</t>
        </is>
      </c>
      <c r="F8" s="9" t="inlineStr">
        <is>
          <t>Official blog (company claims)</t>
        </is>
      </c>
      <c r="G8" s="9" t="n">
        <v>2</v>
      </c>
      <c r="H8" s="9" t="inlineStr">
        <is>
          <t>2026</t>
        </is>
      </c>
      <c r="I8" s="9" t="inlineStr">
        <is>
          <t>2026-10-12</t>
        </is>
      </c>
      <c r="J8" s="9" t="inlineStr">
        <is>
          <t>en</t>
        </is>
      </c>
      <c r="K8" s="9" t="inlineStr">
        <is>
          <t>Not checked</t>
        </is>
      </c>
      <c r="L8" s="10" t="inlineStr">
        <is>
          <t>https://www.sarwa.co/blog/what-is-sarwa-and-how-does-it-work</t>
        </is>
      </c>
    </row>
    <row r="9">
      <c r="A9" s="9" t="inlineStr">
        <is>
          <t>ae-sarwa:S5</t>
        </is>
      </c>
      <c r="B9" s="9" t="inlineStr">
        <is>
          <t>ae-sarwa</t>
        </is>
      </c>
      <c r="C9" s="9" t="inlineStr">
        <is>
          <t>Sarwa</t>
        </is>
      </c>
      <c r="D9" s="5" t="inlineStr">
        <is>
          <t>Is Sarwa safe? (custody and regulation explainer)</t>
        </is>
      </c>
      <c r="E9" s="9" t="inlineStr">
        <is>
          <t>Sarwa</t>
        </is>
      </c>
      <c r="F9" s="9" t="inlineStr">
        <is>
          <t>Official blog</t>
        </is>
      </c>
      <c r="G9" s="9" t="n">
        <v>2</v>
      </c>
      <c r="H9" s="9" t="inlineStr">
        <is>
          <t>2020-11</t>
        </is>
      </c>
      <c r="I9" s="9" t="inlineStr">
        <is>
          <t>2026-10-12</t>
        </is>
      </c>
      <c r="J9" s="9" t="inlineStr">
        <is>
          <t>en</t>
        </is>
      </c>
      <c r="K9" s="9" t="inlineStr">
        <is>
          <t>Not checked</t>
        </is>
      </c>
      <c r="L9" s="10" t="inlineStr">
        <is>
          <t>https://www.sarwa.co/blog/is-sarwa-safe/</t>
        </is>
      </c>
    </row>
    <row r="10">
      <c r="A10" s="9" t="inlineStr">
        <is>
          <t>ae-sarwa:S6</t>
        </is>
      </c>
      <c r="B10" s="9" t="inlineStr">
        <is>
          <t>ae-sarwa</t>
        </is>
      </c>
      <c r="C10" s="9" t="inlineStr">
        <is>
          <t>Sarwa</t>
        </is>
      </c>
      <c r="D10" s="5" t="inlineStr">
        <is>
          <t>Sarwa Invest product page</t>
        </is>
      </c>
      <c r="E10" s="9" t="inlineStr">
        <is>
          <t>Sarwa</t>
        </is>
      </c>
      <c r="F10" s="9" t="inlineStr">
        <is>
          <t>Official product page</t>
        </is>
      </c>
      <c r="G10" s="9" t="n">
        <v>2</v>
      </c>
      <c r="H10" s="9" t="n"/>
      <c r="I10" s="9" t="inlineStr">
        <is>
          <t>2026-10-12</t>
        </is>
      </c>
      <c r="J10" s="9" t="inlineStr">
        <is>
          <t>en</t>
        </is>
      </c>
      <c r="K10" s="9" t="inlineStr">
        <is>
          <t>Not checked</t>
        </is>
      </c>
      <c r="L10" s="10" t="inlineStr">
        <is>
          <t>https://www.sarwa.co/en/product/invest</t>
        </is>
      </c>
    </row>
    <row r="11">
      <c r="A11" s="9" t="inlineStr">
        <is>
          <t>ae-sarwa:S7</t>
        </is>
      </c>
      <c r="B11" s="9" t="inlineStr">
        <is>
          <t>ae-sarwa</t>
        </is>
      </c>
      <c r="C11" s="9" t="inlineStr">
        <is>
          <t>Sarwa</t>
        </is>
      </c>
      <c r="D11" s="5" t="inlineStr">
        <is>
          <t>Sarwa Private Wealth product page</t>
        </is>
      </c>
      <c r="E11" s="9" t="inlineStr">
        <is>
          <t>Sarwa</t>
        </is>
      </c>
      <c r="F11" s="9" t="inlineStr">
        <is>
          <t>Official product page</t>
        </is>
      </c>
      <c r="G11" s="9" t="n">
        <v>2</v>
      </c>
      <c r="H11" s="9" t="n"/>
      <c r="I11" s="9" t="inlineStr">
        <is>
          <t>2026-10-12</t>
        </is>
      </c>
      <c r="J11" s="9" t="inlineStr">
        <is>
          <t>en</t>
        </is>
      </c>
      <c r="K11" s="9" t="inlineStr">
        <is>
          <t>Not checked</t>
        </is>
      </c>
      <c r="L11" s="10" t="inlineStr">
        <is>
          <t>https://www.sarwa.co/en/product/invest/private-wealth</t>
        </is>
      </c>
    </row>
    <row r="12">
      <c r="A12" s="9" t="inlineStr">
        <is>
          <t>ae-sarwa:S8</t>
        </is>
      </c>
      <c r="B12" s="9" t="inlineStr">
        <is>
          <t>ae-sarwa</t>
        </is>
      </c>
      <c r="C12" s="9" t="inlineStr">
        <is>
          <t>Sarwa</t>
        </is>
      </c>
      <c r="D12" s="5" t="inlineStr">
        <is>
          <t>Sarwa Save product page</t>
        </is>
      </c>
      <c r="E12" s="9" t="inlineStr">
        <is>
          <t>Sarwa</t>
        </is>
      </c>
      <c r="F12" s="9" t="inlineStr">
        <is>
          <t>Official product page</t>
        </is>
      </c>
      <c r="G12" s="9" t="n">
        <v>2</v>
      </c>
      <c r="H12" s="9" t="n"/>
      <c r="I12" s="9" t="inlineStr">
        <is>
          <t>2026-10-12</t>
        </is>
      </c>
      <c r="J12" s="9" t="inlineStr">
        <is>
          <t>en</t>
        </is>
      </c>
      <c r="K12" s="9" t="inlineStr">
        <is>
          <t>Not checked</t>
        </is>
      </c>
      <c r="L12" s="10" t="inlineStr">
        <is>
          <t>https://www.sarwa.co/en/product/save</t>
        </is>
      </c>
    </row>
    <row r="13">
      <c r="A13" s="9" t="inlineStr">
        <is>
          <t>ae-sarwa:S9</t>
        </is>
      </c>
      <c r="B13" s="9" t="inlineStr">
        <is>
          <t>ae-sarwa</t>
        </is>
      </c>
      <c r="C13" s="9" t="inlineStr">
        <is>
          <t>Sarwa</t>
        </is>
      </c>
      <c r="D13" s="5" t="inlineStr">
        <is>
          <t>Sarwa Trade product page</t>
        </is>
      </c>
      <c r="E13" s="9" t="inlineStr">
        <is>
          <t>Sarwa</t>
        </is>
      </c>
      <c r="F13" s="9" t="inlineStr">
        <is>
          <t>Official product page</t>
        </is>
      </c>
      <c r="G13" s="9" t="n">
        <v>2</v>
      </c>
      <c r="H13" s="9" t="n"/>
      <c r="I13" s="9" t="inlineStr">
        <is>
          <t>2026-10-12</t>
        </is>
      </c>
      <c r="J13" s="9" t="inlineStr">
        <is>
          <t>en</t>
        </is>
      </c>
      <c r="K13" s="9" t="inlineStr">
        <is>
          <t>Not checked</t>
        </is>
      </c>
      <c r="L13" s="10" t="inlineStr">
        <is>
          <t>https://www.sarwa.co/en/product/trade</t>
        </is>
      </c>
    </row>
    <row r="14">
      <c r="A14" s="9" t="inlineStr">
        <is>
          <t>ae-sarwa:S10</t>
        </is>
      </c>
      <c r="B14" s="9" t="inlineStr">
        <is>
          <t>ae-sarwa</t>
        </is>
      </c>
      <c r="C14" s="9" t="inlineStr">
        <is>
          <t>Sarwa</t>
        </is>
      </c>
      <c r="D14" s="5" t="inlineStr">
        <is>
          <t>Sarwa Options trading page</t>
        </is>
      </c>
      <c r="E14" s="9" t="inlineStr">
        <is>
          <t>Sarwa</t>
        </is>
      </c>
      <c r="F14" s="9" t="inlineStr">
        <is>
          <t>Official product page</t>
        </is>
      </c>
      <c r="G14" s="9" t="n">
        <v>2</v>
      </c>
      <c r="H14" s="9" t="n"/>
      <c r="I14" s="9" t="inlineStr">
        <is>
          <t>2026-10-12</t>
        </is>
      </c>
      <c r="J14" s="9" t="inlineStr">
        <is>
          <t>en</t>
        </is>
      </c>
      <c r="K14" s="9" t="inlineStr">
        <is>
          <t>Not checked</t>
        </is>
      </c>
      <c r="L14" s="10" t="inlineStr">
        <is>
          <t>https://www.sarwa.co/en/product/trade/options</t>
        </is>
      </c>
    </row>
    <row r="15">
      <c r="A15" s="9" t="inlineStr">
        <is>
          <t>ae-sarwa:S11</t>
        </is>
      </c>
      <c r="B15" s="9" t="inlineStr">
        <is>
          <t>ae-sarwa</t>
        </is>
      </c>
      <c r="C15" s="9" t="inlineStr">
        <is>
          <t>Sarwa</t>
        </is>
      </c>
      <c r="D15" s="5" t="inlineStr">
        <is>
          <t>Sarwa pricing</t>
        </is>
      </c>
      <c r="E15" s="9" t="inlineStr">
        <is>
          <t>Sarwa</t>
        </is>
      </c>
      <c r="F15" s="9" t="inlineStr">
        <is>
          <t>Official product page</t>
        </is>
      </c>
      <c r="G15" s="9" t="n">
        <v>2</v>
      </c>
      <c r="H15" s="9" t="n"/>
      <c r="I15" s="9" t="inlineStr">
        <is>
          <t>2026-10-12</t>
        </is>
      </c>
      <c r="J15" s="9" t="inlineStr">
        <is>
          <t>en</t>
        </is>
      </c>
      <c r="K15" s="9" t="inlineStr">
        <is>
          <t>Not checked</t>
        </is>
      </c>
      <c r="L15" s="10" t="inlineStr">
        <is>
          <t>https://www.sarwa.co/en/pricing</t>
        </is>
      </c>
    </row>
    <row r="16">
      <c r="A16" s="9" t="inlineStr">
        <is>
          <t>ae-sarwa:S12</t>
        </is>
      </c>
      <c r="B16" s="9" t="inlineStr">
        <is>
          <t>ae-sarwa</t>
        </is>
      </c>
      <c r="C16" s="9" t="inlineStr">
        <is>
          <t>Sarwa</t>
        </is>
      </c>
      <c r="D16" s="5" t="inlineStr">
        <is>
          <t>Sarwa llms.txt (machine-readable company summary)</t>
        </is>
      </c>
      <c r="E16" s="9" t="inlineStr">
        <is>
          <t>Sarwa</t>
        </is>
      </c>
      <c r="F16" s="9" t="inlineStr">
        <is>
          <t>Official website</t>
        </is>
      </c>
      <c r="G16" s="9" t="n">
        <v>2</v>
      </c>
      <c r="H16" s="9" t="n"/>
      <c r="I16" s="9" t="inlineStr">
        <is>
          <t>2026-10-12</t>
        </is>
      </c>
      <c r="J16" s="9" t="inlineStr">
        <is>
          <t>en</t>
        </is>
      </c>
      <c r="K16" s="9" t="inlineStr">
        <is>
          <t>Not checked</t>
        </is>
      </c>
      <c r="L16" s="10" t="inlineStr">
        <is>
          <t>https://www.sarwa.co/llms.txt</t>
        </is>
      </c>
    </row>
    <row r="17">
      <c r="A17" s="9" t="inlineStr">
        <is>
          <t>ae-sarwa:S13</t>
        </is>
      </c>
      <c r="B17" s="9" t="inlineStr">
        <is>
          <t>ae-sarwa</t>
        </is>
      </c>
      <c r="C17" s="9" t="inlineStr">
        <is>
          <t>Sarwa</t>
        </is>
      </c>
      <c r="D17" s="5" t="inlineStr">
        <is>
          <t>Three Percent Match offer</t>
        </is>
      </c>
      <c r="E17" s="9" t="inlineStr">
        <is>
          <t>Sarwa</t>
        </is>
      </c>
      <c r="F17" s="9" t="inlineStr">
        <is>
          <t>Official product page</t>
        </is>
      </c>
      <c r="G17" s="9" t="n">
        <v>2</v>
      </c>
      <c r="H17" s="9" t="inlineStr">
        <is>
          <t>2025-11-18</t>
        </is>
      </c>
      <c r="I17" s="9" t="inlineStr">
        <is>
          <t>2026-10-12</t>
        </is>
      </c>
      <c r="J17" s="9" t="inlineStr">
        <is>
          <t>en</t>
        </is>
      </c>
      <c r="K17" s="9" t="inlineStr">
        <is>
          <t>Not checked</t>
        </is>
      </c>
      <c r="L17" s="10" t="inlineStr">
        <is>
          <t>https://www.sarwa.co/en/three-percent-match</t>
        </is>
      </c>
    </row>
    <row r="18">
      <c r="A18" s="9" t="inlineStr">
        <is>
          <t>ae-sarwa:S14</t>
        </is>
      </c>
      <c r="B18" s="9" t="inlineStr">
        <is>
          <t>ae-sarwa</t>
        </is>
      </c>
      <c r="C18" s="9" t="inlineStr">
        <is>
          <t>Sarwa</t>
        </is>
      </c>
      <c r="D18" s="5" t="inlineStr">
        <is>
          <t>Founded in DIFC, UAE's Sarwa Hits USD 1 Billion in Assets Amid Retail Trading Surge (DIFC Authority release)</t>
        </is>
      </c>
      <c r="E18" s="9" t="inlineStr">
        <is>
          <t>Dubai Media Office</t>
        </is>
      </c>
      <c r="F18" s="9" t="inlineStr">
        <is>
          <t>Press release (DIFC Authority; quotes Sarwa executives)</t>
        </is>
      </c>
      <c r="G18" s="9" t="n">
        <v>2</v>
      </c>
      <c r="H18" s="9" t="inlineStr">
        <is>
          <t>2026-05-04</t>
        </is>
      </c>
      <c r="I18" s="9" t="inlineStr">
        <is>
          <t>2026-10-12</t>
        </is>
      </c>
      <c r="J18" s="9" t="inlineStr">
        <is>
          <t>en</t>
        </is>
      </c>
      <c r="K18" s="9" t="inlineStr">
        <is>
          <t>Not checked</t>
        </is>
      </c>
      <c r="L18" s="10" t="inlineStr">
        <is>
          <t>https://mediaoffice.ae/en/news/2026/may/04-05/founded-in-difc-uaes-sarwa-hits-usd-1-billion-in-assets-amid-retail-trading-surge</t>
        </is>
      </c>
    </row>
    <row r="19">
      <c r="A19" s="9" t="inlineStr">
        <is>
          <t>ae-sarwa:S15</t>
        </is>
      </c>
      <c r="B19" s="9" t="inlineStr">
        <is>
          <t>ae-sarwa</t>
        </is>
      </c>
      <c r="C19" s="9" t="inlineStr">
        <is>
          <t>Sarwa</t>
        </is>
      </c>
      <c r="D19" s="5" t="inlineStr">
        <is>
          <t>Sarwa Reaches $1B in Client Assets, a First for a Homegrown UAE Fintech</t>
        </is>
      </c>
      <c r="E19" s="9" t="inlineStr">
        <is>
          <t>FF News</t>
        </is>
      </c>
      <c r="F19" s="9" t="inlineStr">
        <is>
          <t>News (republished company release)</t>
        </is>
      </c>
      <c r="G19" s="9" t="n">
        <v>5</v>
      </c>
      <c r="H19" s="9" t="inlineStr">
        <is>
          <t>2026-05-10</t>
        </is>
      </c>
      <c r="I19" s="9" t="inlineStr">
        <is>
          <t>2026-10-12</t>
        </is>
      </c>
      <c r="J19" s="9" t="inlineStr">
        <is>
          <t>en</t>
        </is>
      </c>
      <c r="K19" s="9" t="inlineStr">
        <is>
          <t>Not checked</t>
        </is>
      </c>
      <c r="L19" s="10" t="inlineStr">
        <is>
          <t>https://ffnews.com/newsarticle/tradetech/sarwa-reaches-1b-in-client-assets-a-first-for-a-homegrown-uae-fintech/</t>
        </is>
      </c>
    </row>
    <row r="20">
      <c r="A20" s="9" t="inlineStr">
        <is>
          <t>ae-sarwa:S16</t>
        </is>
      </c>
      <c r="B20" s="9" t="inlineStr">
        <is>
          <t>ae-sarwa</t>
        </is>
      </c>
      <c r="C20" s="9" t="inlineStr">
        <is>
          <t>Sarwa</t>
        </is>
      </c>
      <c r="D20" s="5" t="inlineStr">
        <is>
          <t>UAE-Based Sarwa Becomes First Homegrown Fintech To Reach US$1 Billion in Assets</t>
        </is>
      </c>
      <c r="E20" s="9" t="inlineStr">
        <is>
          <t>Entrepreneur Middle East</t>
        </is>
      </c>
      <c r="F20" s="9" t="inlineStr">
        <is>
          <t>News</t>
        </is>
      </c>
      <c r="G20" s="9" t="n">
        <v>5</v>
      </c>
      <c r="H20" s="9" t="inlineStr">
        <is>
          <t>2026-05-04</t>
        </is>
      </c>
      <c r="I20" s="9" t="inlineStr">
        <is>
          <t>2026-10-12</t>
        </is>
      </c>
      <c r="J20" s="9" t="inlineStr">
        <is>
          <t>en</t>
        </is>
      </c>
      <c r="K20" s="9" t="inlineStr">
        <is>
          <t>Not checked</t>
        </is>
      </c>
      <c r="L20" s="10" t="inlineStr">
        <is>
          <t>https://mena.entrepreneur.com/business-news/uae-based-sarwa-becomes-first-homegrown-fintech-to-reach-us1-billion-in-assets</t>
        </is>
      </c>
    </row>
    <row r="21">
      <c r="A21" s="9" t="inlineStr">
        <is>
          <t>ae-sarwa:S17</t>
        </is>
      </c>
      <c r="B21" s="9" t="inlineStr">
        <is>
          <t>ae-sarwa</t>
        </is>
      </c>
      <c r="C21" s="9" t="inlineStr">
        <is>
          <t>Sarwa</t>
        </is>
      </c>
      <c r="D21" s="5" t="inlineStr">
        <is>
          <t>Sarwa — The Middle East's Fintech 50 2026 (No. 19)</t>
        </is>
      </c>
      <c r="E21" s="9" t="inlineStr">
        <is>
          <t>Forbes Middle East</t>
        </is>
      </c>
      <c r="F21" s="9" t="inlineStr">
        <is>
          <t>News / ranking list</t>
        </is>
      </c>
      <c r="G21" s="9" t="n">
        <v>5</v>
      </c>
      <c r="H21" s="9" t="inlineStr">
        <is>
          <t>2026</t>
        </is>
      </c>
      <c r="I21" s="9" t="inlineStr">
        <is>
          <t>2026-10-12</t>
        </is>
      </c>
      <c r="J21" s="9" t="inlineStr">
        <is>
          <t>en</t>
        </is>
      </c>
      <c r="K21" s="9" t="inlineStr">
        <is>
          <t>Not checked</t>
        </is>
      </c>
      <c r="L21" s="10" t="inlineStr">
        <is>
          <t>https://www.forbesmiddleeast.com/lists/the-middle-easts-fintech-50-2026/sarwa/</t>
        </is>
      </c>
    </row>
    <row r="22">
      <c r="A22" s="9" t="inlineStr">
        <is>
          <t>ae-sarwa:S18</t>
        </is>
      </c>
      <c r="B22" s="9" t="inlineStr">
        <is>
          <t>ae-sarwa</t>
        </is>
      </c>
      <c r="C22" s="9" t="inlineStr">
        <is>
          <t>Sarwa</t>
        </is>
      </c>
      <c r="D22" s="5" t="inlineStr">
        <is>
          <t>Sarwa closes $15 million Series B round led by Mubadala</t>
        </is>
      </c>
      <c r="E22" s="9" t="inlineStr">
        <is>
          <t>Wamda</t>
        </is>
      </c>
      <c r="F22" s="9" t="inlineStr">
        <is>
          <t>News</t>
        </is>
      </c>
      <c r="G22" s="9" t="n">
        <v>5</v>
      </c>
      <c r="H22" s="9" t="inlineStr">
        <is>
          <t>2021-08-09</t>
        </is>
      </c>
      <c r="I22" s="9" t="inlineStr">
        <is>
          <t>2026-10-12</t>
        </is>
      </c>
      <c r="J22" s="9" t="inlineStr">
        <is>
          <t>en</t>
        </is>
      </c>
      <c r="K22" s="9" t="inlineStr">
        <is>
          <t>Not checked</t>
        </is>
      </c>
      <c r="L22" s="10" t="inlineStr">
        <is>
          <t>https://www.wamda.com/en/2021/08/sarwa-closes-15-million-series-b-round-led-mubadala</t>
        </is>
      </c>
    </row>
    <row r="23">
      <c r="A23" s="9" t="inlineStr">
        <is>
          <t>ae-sarwa:S19</t>
        </is>
      </c>
      <c r="B23" s="9" t="inlineStr">
        <is>
          <t>ae-sarwa</t>
        </is>
      </c>
      <c r="C23" s="9" t="inlineStr">
        <is>
          <t>Sarwa</t>
        </is>
      </c>
      <c r="D23" s="5" t="inlineStr">
        <is>
          <t>Robo-advisory Sarwa sets eye on Abu Dhabi as it raises $8.4m in new financing</t>
        </is>
      </c>
      <c r="E23" s="9" t="inlineStr">
        <is>
          <t>The National</t>
        </is>
      </c>
      <c r="F23" s="9" t="inlineStr">
        <is>
          <t>News</t>
        </is>
      </c>
      <c r="G23" s="9" t="n">
        <v>5</v>
      </c>
      <c r="H23" s="9" t="inlineStr">
        <is>
          <t>2020-01-26</t>
        </is>
      </c>
      <c r="I23" s="9" t="inlineStr">
        <is>
          <t>2026-10-12</t>
        </is>
      </c>
      <c r="J23" s="9" t="inlineStr">
        <is>
          <t>en</t>
        </is>
      </c>
      <c r="K23" s="9" t="inlineStr">
        <is>
          <t>Not checked</t>
        </is>
      </c>
      <c r="L23" s="10" t="inlineStr">
        <is>
          <t>https://www.thenationalnews.com/business/money/rob-advisory-sarwa-sets-eye-on-abu-dhabi-as-it-raises-8-4m-in-new-financing-1.967656</t>
        </is>
      </c>
    </row>
    <row r="24">
      <c r="A24" s="9" t="inlineStr">
        <is>
          <t>ae-sarwa:S20</t>
        </is>
      </c>
      <c r="B24" s="9" t="inlineStr">
        <is>
          <t>ae-sarwa</t>
        </is>
      </c>
      <c r="C24" s="9" t="inlineStr">
        <is>
          <t>Sarwa</t>
        </is>
      </c>
      <c r="D24" s="5" t="inlineStr">
        <is>
          <t>CMA grants Sarwa a Financial Technology Experimental Permit (CMA_N_2840)</t>
        </is>
      </c>
      <c r="E24" s="9" t="inlineStr">
        <is>
          <t>Capital Market Authority (Saudi Arabia)</t>
        </is>
      </c>
      <c r="F24" s="9" t="inlineStr">
        <is>
          <t>Regulator announcement</t>
        </is>
      </c>
      <c r="G24" s="9" t="n">
        <v>3</v>
      </c>
      <c r="H24" s="9" t="inlineStr">
        <is>
          <t>2021-01-05</t>
        </is>
      </c>
      <c r="I24" s="9" t="inlineStr">
        <is>
          <t>2026-10-12</t>
        </is>
      </c>
      <c r="J24" s="9" t="inlineStr">
        <is>
          <t>en</t>
        </is>
      </c>
      <c r="K24" s="9" t="inlineStr">
        <is>
          <t>Not checked</t>
        </is>
      </c>
      <c r="L24" s="10" t="inlineStr">
        <is>
          <t>https://cma.gov.sa/en/MediaCenter/NEWS/pages/CMA_N_2840.aspx</t>
        </is>
      </c>
    </row>
    <row r="25">
      <c r="A25" s="9" t="inlineStr">
        <is>
          <t>ae-sarwa:S21</t>
        </is>
      </c>
      <c r="B25" s="9" t="inlineStr">
        <is>
          <t>ae-sarwa</t>
        </is>
      </c>
      <c r="C25" s="9" t="inlineStr">
        <is>
          <t>Sarwa</t>
        </is>
      </c>
      <c r="D25" s="5" t="inlineStr">
        <is>
          <t>Sarwa first fintech to launch Options Trading in the Middle East</t>
        </is>
      </c>
      <c r="E25" s="9" t="inlineStr">
        <is>
          <t>Alpaca</t>
        </is>
      </c>
      <c r="F25" s="9" t="inlineStr">
        <is>
          <t>Partner press release / blog</t>
        </is>
      </c>
      <c r="G25" s="9" t="n">
        <v>2</v>
      </c>
      <c r="H25" s="9" t="inlineStr">
        <is>
          <t>2024-10-09</t>
        </is>
      </c>
      <c r="I25" s="9" t="inlineStr">
        <is>
          <t>2026-10-12</t>
        </is>
      </c>
      <c r="J25" s="9" t="inlineStr">
        <is>
          <t>en</t>
        </is>
      </c>
      <c r="K25" s="9" t="inlineStr">
        <is>
          <t>Not checked</t>
        </is>
      </c>
      <c r="L25" s="10" t="inlineStr">
        <is>
          <t>https://alpaca.markets/blog/sarwa-first-fintech-to-launch-options-trading-in-the-middle-east/</t>
        </is>
      </c>
    </row>
    <row r="26">
      <c r="A26" s="9" t="inlineStr">
        <is>
          <t>ae-sarwa:S22</t>
        </is>
      </c>
      <c r="B26" s="9" t="inlineStr">
        <is>
          <t>ae-sarwa</t>
        </is>
      </c>
      <c r="C26" s="9" t="inlineStr">
        <is>
          <t>Sarwa</t>
        </is>
      </c>
      <c r="D26" s="5" t="inlineStr">
        <is>
          <t>DFSA fines Sarwa Digital Wealth Limited for making a public offer of shares without an approved prospectus</t>
        </is>
      </c>
      <c r="E26" s="9" t="inlineStr">
        <is>
          <t>Dubai Financial Services Authority</t>
        </is>
      </c>
      <c r="F26" s="9" t="inlineStr">
        <is>
          <t>Regulator enforcement notice</t>
        </is>
      </c>
      <c r="G26" s="9" t="n">
        <v>3</v>
      </c>
      <c r="H26" s="9" t="inlineStr">
        <is>
          <t>2024-05-21</t>
        </is>
      </c>
      <c r="I26" s="9" t="inlineStr">
        <is>
          <t>2026-10-12</t>
        </is>
      </c>
      <c r="J26" s="9" t="inlineStr">
        <is>
          <t>en</t>
        </is>
      </c>
      <c r="K26" s="9" t="inlineStr">
        <is>
          <t>Not checked</t>
        </is>
      </c>
      <c r="L26" s="10" t="inlineStr">
        <is>
          <t>https://www.dfsa.ae/news/dfsa-fines-sarwa-digital-wealth-limited-making-public-offer-shares-without-approved-prospectus</t>
        </is>
      </c>
    </row>
    <row r="27">
      <c r="A27" s="9" t="inlineStr">
        <is>
          <t>ae-sarwa:S23</t>
        </is>
      </c>
      <c r="B27" s="9" t="inlineStr">
        <is>
          <t>ae-sarwa</t>
        </is>
      </c>
      <c r="C27" s="9" t="inlineStr">
        <is>
          <t>Sarwa</t>
        </is>
      </c>
      <c r="D27" s="5" t="inlineStr">
        <is>
          <t>ADGM's financial regulator fines Sarwa Digital Wealth (Capital) Limited</t>
        </is>
      </c>
      <c r="E27" s="9" t="inlineStr">
        <is>
          <t>ADGM</t>
        </is>
      </c>
      <c r="F27" s="9" t="inlineStr">
        <is>
          <t>Regulator enforcement announcement</t>
        </is>
      </c>
      <c r="G27" s="9" t="n">
        <v>3</v>
      </c>
      <c r="H27" s="9" t="inlineStr">
        <is>
          <t>2024-05-21</t>
        </is>
      </c>
      <c r="I27" s="9" t="inlineStr">
        <is>
          <t>2026-10-12</t>
        </is>
      </c>
      <c r="J27" s="9" t="inlineStr">
        <is>
          <t>en</t>
        </is>
      </c>
      <c r="K27" s="9" t="inlineStr">
        <is>
          <t>Not checked</t>
        </is>
      </c>
      <c r="L27" s="10" t="inlineStr">
        <is>
          <t>https://adgm.com/media/announcements/adgms-financial-regulator-fines-sarwa-digital-wealth-capital-limited</t>
        </is>
      </c>
    </row>
    <row r="28">
      <c r="A28" s="9" t="inlineStr">
        <is>
          <t>ae-sarwa:S24</t>
        </is>
      </c>
      <c r="B28" s="9" t="inlineStr">
        <is>
          <t>ae-sarwa</t>
        </is>
      </c>
      <c r="C28" s="9" t="inlineStr">
        <is>
          <t>Sarwa</t>
        </is>
      </c>
      <c r="D28" s="5" t="inlineStr">
        <is>
          <t>DFSA Public Register — individual: Mr Mark Chahwan (shows Sarwa Digital Wealth Limited, F004501, Authorised Firms (Withdrawn), 14-Jun-2024)</t>
        </is>
      </c>
      <c r="E28" s="9" t="inlineStr">
        <is>
          <t>Dubai Financial Services Authority</t>
        </is>
      </c>
      <c r="F28" s="9" t="inlineStr">
        <is>
          <t>Regulator public register</t>
        </is>
      </c>
      <c r="G28" s="9" t="n">
        <v>3</v>
      </c>
      <c r="H28" s="9" t="n"/>
      <c r="I28" s="9" t="inlineStr">
        <is>
          <t>2026-10-12</t>
        </is>
      </c>
      <c r="J28" s="9" t="inlineStr">
        <is>
          <t>en</t>
        </is>
      </c>
      <c r="K28" s="9" t="inlineStr">
        <is>
          <t>Not checked</t>
        </is>
      </c>
      <c r="L28" s="10" t="inlineStr">
        <is>
          <t>https://dfsa.ae/public-register/individuals/mr-mark-chahwan</t>
        </is>
      </c>
    </row>
    <row r="29">
      <c r="A29" s="9" t="inlineStr">
        <is>
          <t>ae-sarwa:S25</t>
        </is>
      </c>
      <c r="B29" s="9" t="inlineStr">
        <is>
          <t>ae-sarwa</t>
        </is>
      </c>
      <c r="C29" s="9" t="inlineStr">
        <is>
          <t>Sarwa</t>
        </is>
      </c>
      <c r="D29" s="5" t="inlineStr">
        <is>
          <t>The Finance Frontier 2026: Mark Chahwan, Nadine Mezher, and Jad Sayegh, Co-Founders, Sarwa</t>
        </is>
      </c>
      <c r="E29" s="9" t="inlineStr">
        <is>
          <t>Entrepreneur Middle East</t>
        </is>
      </c>
      <c r="F29" s="9" t="inlineStr">
        <is>
          <t>News / profile</t>
        </is>
      </c>
      <c r="G29" s="9" t="n">
        <v>5</v>
      </c>
      <c r="H29" s="9" t="inlineStr">
        <is>
          <t>2026-07-29</t>
        </is>
      </c>
      <c r="I29" s="9" t="inlineStr">
        <is>
          <t>2026-10-12</t>
        </is>
      </c>
      <c r="J29" s="9" t="inlineStr">
        <is>
          <t>en</t>
        </is>
      </c>
      <c r="K29" s="9" t="inlineStr">
        <is>
          <t>Not checked</t>
        </is>
      </c>
      <c r="L29" s="10" t="inlineStr">
        <is>
          <t>https://mena.entrepreneur.com/finance/the-finance-frontier-2026-mark-chahwan-nadine-mezher-and-jad-sayegh-co-founders-sarwa</t>
        </is>
      </c>
    </row>
    <row r="30">
      <c r="A30" s="9" t="inlineStr">
        <is>
          <t>ae-sarwa:S26</t>
        </is>
      </c>
      <c r="B30" s="9" t="inlineStr">
        <is>
          <t>ae-sarwa</t>
        </is>
      </c>
      <c r="C30" s="9" t="inlineStr">
        <is>
          <t>Sarwa</t>
        </is>
      </c>
      <c r="D30" s="5" t="inlineStr">
        <is>
          <t>How Sarwa Built One of the UAE's Smoothest Fintech Products (interview with CPO Robin Harb)</t>
        </is>
      </c>
      <c r="E30" s="9" t="inlineStr">
        <is>
          <t>one-fs newsletter (co-written by Mark Chahwan)</t>
        </is>
      </c>
      <c r="F30" s="9" t="inlineStr">
        <is>
          <t>Newsletter / interview</t>
        </is>
      </c>
      <c r="G30" s="9" t="n">
        <v>5</v>
      </c>
      <c r="H30" s="9" t="inlineStr">
        <is>
          <t>2025-06-29</t>
        </is>
      </c>
      <c r="I30" s="9" t="inlineStr">
        <is>
          <t>2026-10-12</t>
        </is>
      </c>
      <c r="J30" s="9" t="inlineStr">
        <is>
          <t>en</t>
        </is>
      </c>
      <c r="K30" s="9" t="inlineStr">
        <is>
          <t>Not checked</t>
        </is>
      </c>
      <c r="L30" s="10" t="inlineStr">
        <is>
          <t>https://www.one-fs.com/p/how-sarwa-built-one-of-the-uaes-smoothest</t>
        </is>
      </c>
    </row>
    <row r="31">
      <c r="A31" s="9" t="inlineStr">
        <is>
          <t>ae-sarwa:S27</t>
        </is>
      </c>
      <c r="B31" s="9" t="inlineStr">
        <is>
          <t>ae-sarwa</t>
        </is>
      </c>
      <c r="C31" s="9" t="inlineStr">
        <is>
          <t>Sarwa</t>
        </is>
      </c>
      <c r="D31" s="5" t="inlineStr">
        <is>
          <t>Mark Chahwan — Co-Founder &amp; Group CEO at Sarwa (LinkedIn)</t>
        </is>
      </c>
      <c r="E31" s="9" t="inlineStr">
        <is>
          <t>LinkedIn</t>
        </is>
      </c>
      <c r="F31" s="9" t="inlineStr">
        <is>
          <t>LinkedIn profile (search-result match)</t>
        </is>
      </c>
      <c r="G31" s="9" t="n">
        <v>4</v>
      </c>
      <c r="H31" s="9" t="n"/>
      <c r="I31" s="9" t="inlineStr">
        <is>
          <t>2026-10-12</t>
        </is>
      </c>
      <c r="J31" s="9" t="inlineStr">
        <is>
          <t>en</t>
        </is>
      </c>
      <c r="K31" s="9" t="inlineStr">
        <is>
          <t>Not checked</t>
        </is>
      </c>
      <c r="L31" s="10" t="inlineStr">
        <is>
          <t>https://www.linkedin.com/in/markchahwan/</t>
        </is>
      </c>
    </row>
    <row r="32">
      <c r="A32" s="9" t="inlineStr">
        <is>
          <t>ae-sarwa:S28</t>
        </is>
      </c>
      <c r="B32" s="9" t="inlineStr">
        <is>
          <t>ae-sarwa</t>
        </is>
      </c>
      <c r="C32" s="9" t="inlineStr">
        <is>
          <t>Sarwa</t>
        </is>
      </c>
      <c r="D32" s="5" t="inlineStr">
        <is>
          <t>Jad Sayegh — Sarwa (LinkedIn)</t>
        </is>
      </c>
      <c r="E32" s="9" t="inlineStr">
        <is>
          <t>LinkedIn</t>
        </is>
      </c>
      <c r="F32" s="9" t="inlineStr">
        <is>
          <t>LinkedIn profile (search-result match)</t>
        </is>
      </c>
      <c r="G32" s="9" t="n">
        <v>4</v>
      </c>
      <c r="H32" s="9" t="n"/>
      <c r="I32" s="9" t="inlineStr">
        <is>
          <t>2026-10-12</t>
        </is>
      </c>
      <c r="J32" s="9" t="inlineStr">
        <is>
          <t>en</t>
        </is>
      </c>
      <c r="K32" s="9" t="inlineStr">
        <is>
          <t>Not checked</t>
        </is>
      </c>
      <c r="L32" s="10" t="inlineStr">
        <is>
          <t>https://www.linkedin.com/in/jadsayegh/</t>
        </is>
      </c>
    </row>
    <row r="33">
      <c r="A33" s="9" t="inlineStr">
        <is>
          <t>ae-sarwa:S29</t>
        </is>
      </c>
      <c r="B33" s="9" t="inlineStr">
        <is>
          <t>ae-sarwa</t>
        </is>
      </c>
      <c r="C33" s="9" t="inlineStr">
        <is>
          <t>Sarwa</t>
        </is>
      </c>
      <c r="D33" s="5" t="inlineStr">
        <is>
          <t>Nadine Mezher — Co-Founder at NAWA and Sarwa (LinkedIn)</t>
        </is>
      </c>
      <c r="E33" s="9" t="inlineStr">
        <is>
          <t>LinkedIn</t>
        </is>
      </c>
      <c r="F33" s="9" t="inlineStr">
        <is>
          <t>LinkedIn profile (search-result match)</t>
        </is>
      </c>
      <c r="G33" s="9" t="n">
        <v>4</v>
      </c>
      <c r="H33" s="9" t="n"/>
      <c r="I33" s="9" t="inlineStr">
        <is>
          <t>2026-10-12</t>
        </is>
      </c>
      <c r="J33" s="9" t="inlineStr">
        <is>
          <t>en</t>
        </is>
      </c>
      <c r="K33" s="9" t="inlineStr">
        <is>
          <t>Not checked</t>
        </is>
      </c>
      <c r="L33" s="10" t="inlineStr">
        <is>
          <t>https://www.linkedin.com/in/nadine-mezher/</t>
        </is>
      </c>
    </row>
    <row r="34">
      <c r="A34" s="9" t="inlineStr">
        <is>
          <t>ae-sarwa:S30</t>
        </is>
      </c>
      <c r="B34" s="9" t="inlineStr">
        <is>
          <t>ae-sarwa</t>
        </is>
      </c>
      <c r="C34" s="9" t="inlineStr">
        <is>
          <t>Sarwa</t>
        </is>
      </c>
      <c r="D34" s="5" t="inlineStr">
        <is>
          <t>Robin Harb — Chief Product Officer at Sarwa (LinkedIn)</t>
        </is>
      </c>
      <c r="E34" s="9" t="inlineStr">
        <is>
          <t>LinkedIn</t>
        </is>
      </c>
      <c r="F34" s="9" t="inlineStr">
        <is>
          <t>LinkedIn profile (search-result match)</t>
        </is>
      </c>
      <c r="G34" s="9" t="n">
        <v>4</v>
      </c>
      <c r="H34" s="9" t="n"/>
      <c r="I34" s="9" t="inlineStr">
        <is>
          <t>2026-10-12</t>
        </is>
      </c>
      <c r="J34" s="9" t="inlineStr">
        <is>
          <t>en</t>
        </is>
      </c>
      <c r="K34" s="9" t="inlineStr">
        <is>
          <t>Not checked</t>
        </is>
      </c>
      <c r="L34" s="10" t="inlineStr">
        <is>
          <t>https://www.linkedin.com/in/robin-harb-46256a8b/</t>
        </is>
      </c>
    </row>
    <row r="35">
      <c r="A35" s="9" t="inlineStr">
        <is>
          <t>ae-sarwa:S31</t>
        </is>
      </c>
      <c r="B35" s="9" t="inlineStr">
        <is>
          <t>ae-sarwa</t>
        </is>
      </c>
      <c r="C35" s="9" t="inlineStr">
        <is>
          <t>Sarwa</t>
        </is>
      </c>
      <c r="D35" s="5" t="inlineStr">
        <is>
          <t>ثروة | استثمار وتداول وادخار (Arabic homepage)</t>
        </is>
      </c>
      <c r="E35" s="9" t="inlineStr">
        <is>
          <t>Sarwa</t>
        </is>
      </c>
      <c r="F35" s="9" t="inlineStr">
        <is>
          <t>Official website</t>
        </is>
      </c>
      <c r="G35" s="9" t="n">
        <v>2</v>
      </c>
      <c r="H35" s="9" t="n"/>
      <c r="I35" s="9" t="inlineStr">
        <is>
          <t>2026-10-12</t>
        </is>
      </c>
      <c r="J35" s="9" t="inlineStr">
        <is>
          <t>ar</t>
        </is>
      </c>
      <c r="K35" s="9" t="inlineStr">
        <is>
          <t>Not checked</t>
        </is>
      </c>
      <c r="L35" s="10" t="inlineStr">
        <is>
          <t>https://www.sarwa.co/ar</t>
        </is>
      </c>
    </row>
  </sheetData>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1" r:id="rId17"/>
    <hyperlink xmlns:r="http://schemas.openxmlformats.org/officeDocument/2006/relationships" ref="L22" r:id="rId18"/>
    <hyperlink xmlns:r="http://schemas.openxmlformats.org/officeDocument/2006/relationships" ref="L23" r:id="rId19"/>
    <hyperlink xmlns:r="http://schemas.openxmlformats.org/officeDocument/2006/relationships" ref="L24" r:id="rId20"/>
    <hyperlink xmlns:r="http://schemas.openxmlformats.org/officeDocument/2006/relationships" ref="L25" r:id="rId21"/>
    <hyperlink xmlns:r="http://schemas.openxmlformats.org/officeDocument/2006/relationships" ref="L26" r:id="rId22"/>
    <hyperlink xmlns:r="http://schemas.openxmlformats.org/officeDocument/2006/relationships" ref="L27" r:id="rId23"/>
    <hyperlink xmlns:r="http://schemas.openxmlformats.org/officeDocument/2006/relationships" ref="L28" r:id="rId24"/>
    <hyperlink xmlns:r="http://schemas.openxmlformats.org/officeDocument/2006/relationships" ref="L29" r:id="rId25"/>
    <hyperlink xmlns:r="http://schemas.openxmlformats.org/officeDocument/2006/relationships" ref="L30" r:id="rId26"/>
    <hyperlink xmlns:r="http://schemas.openxmlformats.org/officeDocument/2006/relationships" ref="L31" r:id="rId27"/>
    <hyperlink xmlns:r="http://schemas.openxmlformats.org/officeDocument/2006/relationships" ref="L32" r:id="rId28"/>
    <hyperlink xmlns:r="http://schemas.openxmlformats.org/officeDocument/2006/relationships" ref="L33" r:id="rId29"/>
    <hyperlink xmlns:r="http://schemas.openxmlformats.org/officeDocument/2006/relationships" ref="L34" r:id="rId30"/>
    <hyperlink xmlns:r="http://schemas.openxmlformats.org/officeDocument/2006/relationships" ref="L35" r:id="rId31"/>
  </hyperlinks>
  <pageMargins left="0.75" right="0.75" top="1" bottom="1" header="0.5" footer="0.5"/>
  <tableParts count="1">
    <tablePart xmlns:r="http://schemas.openxmlformats.org/officeDocument/2006/relationships" r:id="rId32"/>
  </tableParts>
</worksheet>
</file>

<file path=xl/worksheets/sheet12.xml><?xml version="1.0" encoding="utf-8"?>
<worksheet xmlns="http://schemas.openxmlformats.org/spreadsheetml/2006/main">
  <sheetPr>
    <outlinePr summaryBelow="1" summaryRight="1"/>
    <pageSetUpPr/>
  </sheetPr>
  <dimension ref="A1:C3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32" customWidth="1" min="2" max="2"/>
    <col width="120" customWidth="1" min="3" max="3"/>
  </cols>
  <sheetData>
    <row r="1">
      <c r="A1" s="6" t="inlineStr">
        <is>
          <t>Data dictionary</t>
        </is>
      </c>
    </row>
    <row r="2">
      <c r="A2" s="7" t="inlineStr">
        <is>
          <t>Field definitions for every sheet and export (the CSV/SQLite exports use the same field names in snake_case).</t>
        </is>
      </c>
    </row>
    <row r="4" ht="30" customHeight="1">
      <c r="A4" s="8" t="inlineStr">
        <is>
          <t>Sheet / table</t>
        </is>
      </c>
      <c r="B4" s="8" t="inlineStr">
        <is>
          <t>Field</t>
        </is>
      </c>
      <c r="C4" s="8" t="inlineStr">
        <is>
          <t>Definition</t>
        </is>
      </c>
    </row>
    <row r="5">
      <c r="A5" s="9" t="inlineStr">
        <is>
          <t>Institutions</t>
        </is>
      </c>
      <c r="B5" s="9" t="inlineStr">
        <is>
          <t>ID</t>
        </is>
      </c>
      <c r="C5" s="5" t="inlineStr">
        <is>
          <t>Stable key: ISO-2 market code + slug (e.g. ae-enbd). Used in file names and all references.</t>
        </is>
      </c>
    </row>
    <row r="6">
      <c r="A6" s="9" t="inlineStr">
        <is>
          <t>Institutions</t>
        </is>
      </c>
      <c r="B6" s="9" t="inlineStr">
        <is>
          <t>Category</t>
        </is>
      </c>
      <c r="C6" s="5" t="inlineStr">
        <is>
          <t>Bank · Bank-owned investment subsidiary · Non-bank · International bank (GCC operations). See Universe &amp; exclusions.</t>
        </is>
      </c>
    </row>
    <row r="7">
      <c r="A7" s="9" t="inlineStr">
        <is>
          <t>Institutions</t>
        </is>
      </c>
      <c r="B7" s="9" t="inlineStr">
        <is>
          <t>Type</t>
        </is>
      </c>
      <c r="C7" s="5" t="inlineStr">
        <is>
          <t>Universal / commercial bank · Islamic commercial bank · Digital bank · Private / investment bank · Wholesale bank · Asset &amp; wealth manager · Brokerage / investment platform · Digital wealth platform · Investment bank / alternatives manager · Diversified finance company.</t>
        </is>
      </c>
    </row>
    <row r="8">
      <c r="A8" s="9" t="inlineStr">
        <is>
          <t>Institutions</t>
        </is>
      </c>
      <c r="B8" s="9" t="inlineStr">
        <is>
          <t>Banking model</t>
        </is>
      </c>
      <c r="C8" s="5" t="inlineStr">
        <is>
          <t>Conventional · Islamic · Conventional with Islamic window/subsidiary · Not applicable.</t>
        </is>
      </c>
    </row>
    <row r="9">
      <c r="A9" s="9" t="inlineStr">
        <is>
          <t>Institutions</t>
        </is>
      </c>
      <c r="B9" s="9" t="inlineStr">
        <is>
          <t>Total assets (USD bn)</t>
        </is>
      </c>
      <c r="C9" s="5" t="inlineStr">
        <is>
          <t>Consolidated total assets at the standard balance-sheet date unless the period column says otherwise, converted at the FX rates sheet.</t>
        </is>
      </c>
    </row>
    <row r="10">
      <c r="A10" s="9" t="inlineStr">
        <is>
          <t>Institutions</t>
        </is>
      </c>
      <c r="B10" s="9" t="inlineStr">
        <is>
          <t>Customer deposits (USD bn)</t>
        </is>
      </c>
      <c r="C10" s="5" t="inlineStr">
        <is>
          <t>Customer deposits / depositors' accounts as labelled by the issuer; excludes due to banks unless the definition says otherwise.</t>
        </is>
      </c>
    </row>
    <row r="11">
      <c r="A11" s="9" t="inlineStr">
        <is>
          <t>Institutions</t>
        </is>
      </c>
      <c r="B11" s="9" t="inlineStr">
        <is>
          <t>Net loans (USD bn)</t>
        </is>
      </c>
      <c r="C11" s="5" t="inlineStr">
        <is>
          <t>Net loans and advances / net financing to customers as labelled; see the definition in Financials.</t>
        </is>
      </c>
    </row>
    <row r="12">
      <c r="A12" s="9" t="inlineStr">
        <is>
          <t>Institutions</t>
        </is>
      </c>
      <c r="B12" s="9" t="inlineStr">
        <is>
          <t>Operating income (USD bn)</t>
        </is>
      </c>
      <c r="C12" s="5" t="inlineStr">
        <is>
          <t>Total operating income / net operating income / total revenue as labelled, FY2025 unless stated.</t>
        </is>
      </c>
    </row>
    <row r="13">
      <c r="A13" s="9" t="inlineStr">
        <is>
          <t>Institutions</t>
        </is>
      </c>
      <c r="B13" s="9" t="inlineStr">
        <is>
          <t>Net profit (USD bn)</t>
        </is>
      </c>
      <c r="C13" s="5" t="inlineStr">
        <is>
          <t>Net profit attributable to equity holders of the parent, FY2025 unless stated.</t>
        </is>
      </c>
    </row>
    <row r="14">
      <c r="A14" s="9" t="inlineStr">
        <is>
          <t>Institutions</t>
        </is>
      </c>
      <c r="B14" s="9" t="inlineStr">
        <is>
          <t>AUM / AUA (USD bn)</t>
        </is>
      </c>
      <c r="C14" s="5" t="inlineStr">
        <is>
          <t>Only when the institution labels it AUM / AUA; otherwise 'Not publicly disclosed' or 'Not found after research'.</t>
        </is>
      </c>
    </row>
    <row r="15">
      <c r="A15" s="9" t="inlineStr">
        <is>
          <t>Institutions</t>
        </is>
      </c>
      <c r="B15" s="9" t="inlineStr">
        <is>
          <t>Size band</t>
        </is>
      </c>
      <c r="C15" s="5" t="inlineStr">
        <is>
          <t>Banks by total assets USD: Mega ≥150bn, Large 50–150bn, Mid 15–50bn, Small &lt;15bn. Non-banks by AUM/AUA.</t>
        </is>
      </c>
    </row>
    <row r="16">
      <c r="A16" s="9" t="inlineStr">
        <is>
          <t>Institutions</t>
        </is>
      </c>
      <c r="B16" s="9" t="inlineStr">
        <is>
          <t>ARTA score / tier</t>
        </is>
      </c>
      <c r="C16" s="5" t="inlineStr">
        <is>
          <t>Default-weight screening score 0–100 (see ARTA priorities). Tier 1 ≥65, Tier 2 ≥50.</t>
        </is>
      </c>
    </row>
    <row r="17">
      <c r="A17" s="9" t="inlineStr">
        <is>
          <t>Financials</t>
        </is>
      </c>
      <c r="B17" s="9" t="inlineStr">
        <is>
          <t>Reported value / Unit / Currency</t>
        </is>
      </c>
      <c r="C17" s="5" t="inlineStr">
        <is>
          <t>As printed in the source (unit = unit, thousand, million or billion) in original currency.</t>
        </is>
      </c>
    </row>
    <row r="18">
      <c r="A18" s="9" t="inlineStr">
        <is>
          <t>Financials</t>
        </is>
      </c>
      <c r="B18" s="9" t="inlineStr">
        <is>
          <t>USD bn</t>
        </is>
      </c>
      <c r="C18" s="5" t="inlineStr">
        <is>
          <t>Absolute value ÷ FX per USD ÷ 1e9. Counts (customers, employees) are not converted.</t>
        </is>
      </c>
    </row>
    <row r="19">
      <c r="A19" s="9" t="inlineStr">
        <is>
          <t>Financials</t>
        </is>
      </c>
      <c r="B19" s="9" t="inlineStr">
        <is>
          <t>FX basis</t>
        </is>
      </c>
      <c r="C19" s="5" t="inlineStr">
        <is>
          <t>Peg, or CBK rate at period end (balance sheet) / period average (income) for KWD.</t>
        </is>
      </c>
    </row>
    <row r="20">
      <c r="A20" s="9" t="inlineStr">
        <is>
          <t>Financials</t>
        </is>
      </c>
      <c r="B20" s="9" t="inlineStr">
        <is>
          <t>Period end / Period / Period type</t>
        </is>
      </c>
      <c r="C20" s="5" t="inlineStr">
        <is>
          <t>ISO period end; label (e.g. 30 Jun 2026, FY2025, H1 2026); point_in_time or duration.</t>
        </is>
      </c>
    </row>
    <row r="21">
      <c r="A21" s="9" t="inlineStr">
        <is>
          <t>Financials</t>
        </is>
      </c>
      <c r="B21" s="9" t="inlineStr">
        <is>
          <t>Standard period?</t>
        </is>
      </c>
      <c r="C21" s="5" t="inlineStr">
        <is>
          <t>Yes if balance-sheet item at 2026-06-30 or income item for FY2025.</t>
        </is>
      </c>
    </row>
    <row r="22">
      <c r="A22" s="9" t="inlineStr">
        <is>
          <t>Financials</t>
        </is>
      </c>
      <c r="B22" s="9" t="inlineStr">
        <is>
          <t>Scope</t>
        </is>
      </c>
      <c r="C22" s="5" t="inlineStr">
        <is>
          <t>Group consolidated · Bank standalone · Subsidiary: name · Segment: name.</t>
        </is>
      </c>
    </row>
    <row r="23">
      <c r="A23" s="9" t="inlineStr">
        <is>
          <t>Financials</t>
        </is>
      </c>
      <c r="B23" s="9" t="inlineStr">
        <is>
          <t>Status</t>
        </is>
      </c>
      <c r="C23" s="5" t="inlineStr">
        <is>
          <t>Verified · Conflicting sources · Requires verification.</t>
        </is>
      </c>
    </row>
    <row r="24">
      <c r="A24" s="9" t="inlineStr">
        <is>
          <t>Financials</t>
        </is>
      </c>
      <c r="B24" s="9" t="inlineStr">
        <is>
          <t>Locator</t>
        </is>
      </c>
      <c r="C24" s="5" t="inlineStr">
        <is>
          <t>Page, note or section in the source where the figure appears.</t>
        </is>
      </c>
    </row>
    <row r="25">
      <c r="A25" s="9" t="inlineStr">
        <is>
          <t>Executives</t>
        </is>
      </c>
      <c r="B25" s="9" t="inlineStr">
        <is>
          <t>Exact title</t>
        </is>
      </c>
      <c r="C25" s="5" t="inlineStr">
        <is>
          <t>Title as shown on the current official source.</t>
        </is>
      </c>
    </row>
    <row r="26">
      <c r="A26" s="9" t="inlineStr">
        <is>
          <t>Executives</t>
        </is>
      </c>
      <c r="B26" s="9" t="inlineStr">
        <is>
          <t>Functions</t>
        </is>
      </c>
      <c r="C26" s="5" t="inlineStr">
        <is>
          <t>Controlled tags: Chair, Board, Group CEO, CEO, Deputy CEO, Retail, Affluent, Private banking, Wealth, Investments / asset management, Brokerage, Digital, Technology, Innovation / partnerships, Strategy, Subsidiary CEO, Finance, Treasury, Corporate / wholesale, Operations, Islamic / Shariah, Other.</t>
        </is>
      </c>
    </row>
    <row r="27">
      <c r="A27" s="9" t="inlineStr">
        <is>
          <t>Executives</t>
        </is>
      </c>
      <c r="B27" s="9" t="inlineStr">
        <is>
          <t>Role status</t>
        </is>
      </c>
      <c r="C27" s="5" t="inlineStr">
        <is>
          <t>Verified current (official page and no departure news) · Requires verification · Conflicting sources · Departed.</t>
        </is>
      </c>
    </row>
    <row r="28">
      <c r="A28" s="9" t="inlineStr">
        <is>
          <t>Executives</t>
        </is>
      </c>
      <c r="B28" s="9" t="inlineStr">
        <is>
          <t>LinkedIn status</t>
        </is>
      </c>
      <c r="C28" s="5" t="inlineStr">
        <is>
          <t>Verified (official link) · Verified (profile/search match: name + current employer + title) · Not verified · Not checked. URLs are never guessed.</t>
        </is>
      </c>
    </row>
    <row r="29">
      <c r="A29" s="9" t="inlineStr">
        <is>
          <t>Executives</t>
        </is>
      </c>
      <c r="B29" s="9" t="inlineStr">
        <is>
          <t>Key ARTA contact role</t>
        </is>
      </c>
      <c r="C29" s="5" t="inlineStr">
        <is>
          <t>Yes if the person's functions include CEO, deputy CEO, retail, affluent, private banking, wealth, investments, brokerage, digital, technology, innovation/partnerships, strategy or subsidiary CEO.</t>
        </is>
      </c>
    </row>
    <row r="30">
      <c r="A30" s="9" t="inlineStr">
        <is>
          <t>Capabilities</t>
        </is>
      </c>
      <c r="B30" s="9" t="inlineStr">
        <is>
          <t>Each capability</t>
        </is>
      </c>
      <c r="C30" s="5" t="inlineStr">
        <is>
          <t>Yes · No · Not found after research · Unclear, with detail and sources.</t>
        </is>
      </c>
    </row>
    <row r="31">
      <c r="A31" s="9" t="inlineStr">
        <is>
          <t>Partners &amp; initiatives</t>
        </is>
      </c>
      <c r="B31" s="9" t="inlineStr">
        <is>
          <t>Status</t>
        </is>
      </c>
      <c r="C31" s="5" t="inlineStr">
        <is>
          <t>Live · Announced · MoU / pilot · Ended · Unclear. An MoU is not a deployment; vendor logos are not clients.</t>
        </is>
      </c>
    </row>
    <row r="32">
      <c r="A32" s="9" t="inlineStr">
        <is>
          <t>Source register</t>
        </is>
      </c>
      <c r="B32" s="9" t="inlineStr">
        <is>
          <t>Tier</t>
        </is>
      </c>
      <c r="C32" s="5" t="inlineStr">
        <is>
          <t>1 audited statements, annual reports, regulatory/exchange filings · 2 official sites, releases, presentations · 3 central banks/regulators · 4 official bios, verified LinkedIn · 5 reputable financial news.</t>
        </is>
      </c>
    </row>
    <row r="33">
      <c r="A33" s="9" t="inlineStr">
        <is>
          <t>Source register</t>
        </is>
      </c>
      <c r="B33" s="9" t="inlineStr">
        <is>
          <t>Published / Checked</t>
        </is>
      </c>
      <c r="C33" s="5" t="inlineStr">
        <is>
          <t>Publication date where shown; date the source was opened and checked.</t>
        </is>
      </c>
    </row>
    <row r="34">
      <c r="A34" s="9" t="inlineStr">
        <is>
          <t>All</t>
        </is>
      </c>
      <c r="B34" s="9" t="inlineStr">
        <is>
          <t>Source IDs</t>
        </is>
      </c>
      <c r="C34" s="5" t="inlineStr">
        <is>
          <t>&lt;institution id&gt;:S&lt;n&gt; — look up in Source register.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10" customWidth="1" min="3" max="3"/>
    <col width="40" customWidth="1" min="4" max="4"/>
    <col width="70" customWidth="1" min="5" max="5"/>
    <col width="60" customWidth="1" min="6" max="6"/>
  </cols>
  <sheetData>
    <row r="1">
      <c r="A1" s="6" t="inlineStr">
        <is>
          <t>FX rates (local currency per USD)</t>
        </is>
      </c>
    </row>
    <row r="2">
      <c r="A2" s="7" t="inlineStr">
        <is>
          <t>Units of local currency per 1 USD. Balance-sheet values are converted at the rate for their own period-end date; income-statement values (FY2025) at the FY2025 average for KWD and at the peg for pegged currencies. Pegged currencies use the official peg for every date.</t>
        </is>
      </c>
    </row>
    <row r="4" ht="30" customHeight="1">
      <c r="A4" s="8" t="inlineStr">
        <is>
          <t>Currency</t>
        </is>
      </c>
      <c r="B4" s="8" t="inlineStr">
        <is>
          <t>Date / period</t>
        </is>
      </c>
      <c r="C4" s="8" t="inlineStr">
        <is>
          <t>Per USD</t>
        </is>
      </c>
      <c r="D4" s="8" t="inlineStr">
        <is>
          <t>Basis</t>
        </is>
      </c>
      <c r="E4" s="8" t="inlineStr">
        <is>
          <t>Source</t>
        </is>
      </c>
      <c r="F4" s="8" t="inlineStr">
        <is>
          <t>URL</t>
        </is>
      </c>
    </row>
    <row r="5">
      <c r="A5" s="5" t="inlineStr">
        <is>
          <t>AED</t>
        </is>
      </c>
      <c r="B5" s="5" t="n"/>
      <c r="C5" s="5" t="n">
        <v>3.6725</v>
      </c>
      <c r="D5" s="5" t="inlineStr">
        <is>
          <t>Fixed peg to USD since 1997</t>
        </is>
      </c>
      <c r="E5" s="5" t="inlineStr">
        <is>
          <t>Central Bank of the UAE (CBUAE) — USD peg of AED 3.6725</t>
        </is>
      </c>
      <c r="F5" s="25" t="inlineStr">
        <is>
          <t>https://www.centralbank.ae/en/</t>
        </is>
      </c>
    </row>
    <row r="6">
      <c r="A6" s="5" t="inlineStr">
        <is>
          <t>SAR</t>
        </is>
      </c>
      <c r="B6" s="5" t="n"/>
      <c r="C6" s="5" t="n">
        <v>3.75</v>
      </c>
      <c r="D6" s="5" t="inlineStr">
        <is>
          <t>Fixed peg to USD since 1986</t>
        </is>
      </c>
      <c r="E6" s="5" t="inlineStr">
        <is>
          <t>Saudi Central Bank (SAMA) — USD peg of SAR 3.75</t>
        </is>
      </c>
      <c r="F6" s="25" t="inlineStr">
        <is>
          <t>https://www.sama.gov.sa/</t>
        </is>
      </c>
    </row>
    <row r="7">
      <c r="A7" s="5" t="inlineStr">
        <is>
          <t>QAR</t>
        </is>
      </c>
      <c r="B7" s="5" t="n"/>
      <c r="C7" s="5" t="n">
        <v>3.64</v>
      </c>
      <c r="D7" s="5" t="inlineStr">
        <is>
          <t>Fixed peg to USD since 2001</t>
        </is>
      </c>
      <c r="E7" s="5" t="inlineStr">
        <is>
          <t>Qatar Central Bank — USD peg of QAR 3.64</t>
        </is>
      </c>
      <c r="F7" s="25" t="inlineStr">
        <is>
          <t>https://www.qcb.gov.qa/</t>
        </is>
      </c>
    </row>
    <row r="8">
      <c r="A8" s="5" t="inlineStr">
        <is>
          <t>BHD</t>
        </is>
      </c>
      <c r="B8" s="5" t="n"/>
      <c r="C8" s="5" t="n">
        <v>0.376</v>
      </c>
      <c r="D8" s="5" t="inlineStr">
        <is>
          <t>Fixed peg to USD</t>
        </is>
      </c>
      <c r="E8" s="5" t="inlineStr">
        <is>
          <t>Central Bank of Bahrain — USD peg of BHD 0.376</t>
        </is>
      </c>
      <c r="F8" s="25" t="inlineStr">
        <is>
          <t>https://www.cbb.gov.bh/</t>
        </is>
      </c>
    </row>
    <row r="9">
      <c r="A9" s="5" t="inlineStr">
        <is>
          <t>OMR</t>
        </is>
      </c>
      <c r="B9" s="5" t="n"/>
      <c r="C9" s="5" t="n">
        <v>0.3845</v>
      </c>
      <c r="D9" s="5" t="inlineStr">
        <is>
          <t>Fixed peg to USD since 1986</t>
        </is>
      </c>
      <c r="E9" s="5" t="inlineStr">
        <is>
          <t>Central Bank of Oman — USD peg of OMR 0.3845</t>
        </is>
      </c>
      <c r="F9" s="25" t="inlineStr">
        <is>
          <t>https://cbo.gov.om/</t>
        </is>
      </c>
    </row>
    <row r="10">
      <c r="A10" s="5" t="inlineStr">
        <is>
          <t>KWD</t>
        </is>
      </c>
      <c r="B10" s="5" t="inlineStr">
        <is>
          <t>2025-12-31</t>
        </is>
      </c>
      <c r="C10" s="5" t="n">
        <v>0.3054</v>
      </c>
      <c r="D10" s="5" t="inlineStr">
        <is>
          <t>CBK daily rate (fils/1000), period end</t>
        </is>
      </c>
      <c r="E10" s="5" t="inlineStr">
        <is>
          <t>Central Bank of Kuwait — Currency: US Dollar daily rates (date-range table), retrieved 2026-10-12</t>
        </is>
      </c>
      <c r="F10" s="25" t="inlineStr">
        <is>
          <t>https://www.cbk.gov.kw/en/monetary-policy/market-operations/exchange-rates/usd</t>
        </is>
      </c>
    </row>
    <row r="11">
      <c r="A11" s="5" t="inlineStr">
        <is>
          <t>KWD</t>
        </is>
      </c>
      <c r="B11" s="5" t="inlineStr">
        <is>
          <t>2026-03-31</t>
        </is>
      </c>
      <c r="C11" s="5" t="n">
        <v>0.30695</v>
      </c>
      <c r="D11" s="5" t="inlineStr">
        <is>
          <t>CBK daily rate (fils/1000), period end</t>
        </is>
      </c>
      <c r="E11" s="5" t="inlineStr">
        <is>
          <t>Central Bank of Kuwait — Currency: US Dollar daily rates (date-range table), retrieved 2026-10-12</t>
        </is>
      </c>
      <c r="F11" s="25" t="inlineStr">
        <is>
          <t>https://www.cbk.gov.kw/en/monetary-policy/market-operations/exchange-rates/usd</t>
        </is>
      </c>
    </row>
    <row r="12">
      <c r="A12" s="5" t="inlineStr">
        <is>
          <t>KWD</t>
        </is>
      </c>
      <c r="B12" s="5" t="inlineStr">
        <is>
          <t>2026-06-30</t>
        </is>
      </c>
      <c r="C12" s="5" t="n">
        <v>0.3079</v>
      </c>
      <c r="D12" s="5" t="inlineStr">
        <is>
          <t>CBK daily rate (fils/1000), period end</t>
        </is>
      </c>
      <c r="E12" s="5" t="inlineStr">
        <is>
          <t>Central Bank of Kuwait — Currency: US Dollar daily rates (date-range table), retrieved 2026-10-12</t>
        </is>
      </c>
      <c r="F12" s="25" t="inlineStr">
        <is>
          <t>https://www.cbk.gov.kw/en/monetary-policy/market-operations/exchange-rates/usd</t>
        </is>
      </c>
    </row>
    <row r="13">
      <c r="A13" s="5" t="inlineStr">
        <is>
          <t>KWD</t>
        </is>
      </c>
      <c r="B13" s="5" t="inlineStr">
        <is>
          <t>2026-09-30</t>
        </is>
      </c>
      <c r="C13" s="5" t="n">
        <v>0.30785</v>
      </c>
      <c r="D13" s="5" t="inlineStr">
        <is>
          <t>CBK daily rate (fils/1000), period end</t>
        </is>
      </c>
      <c r="E13" s="5" t="inlineStr">
        <is>
          <t>Central Bank of Kuwait — Currency: US Dollar daily rates (date-range table), retrieved 2026-10-12</t>
        </is>
      </c>
      <c r="F13" s="25" t="inlineStr">
        <is>
          <t>https://www.cbk.gov.kw/en/monetary-policy/market-operations/exchange-rates/usd</t>
        </is>
      </c>
    </row>
    <row r="14">
      <c r="A14" s="5" t="inlineStr">
        <is>
          <t>KWD</t>
        </is>
      </c>
      <c r="B14" s="5" t="inlineStr">
        <is>
          <t>FY2025</t>
        </is>
      </c>
      <c r="C14" s="5" t="n">
        <v>0.3064</v>
      </c>
      <c r="D14" s="5" t="inlineStr">
        <is>
          <t>Period average (income items)</t>
        </is>
      </c>
      <c r="E14" s="5" t="inlineStr">
        <is>
          <t>CBK Exchange Rate Policy page — annual average 2025: 306.4 fils per USD</t>
        </is>
      </c>
      <c r="F14" s="25" t="inlineStr">
        <is>
          <t>https://www.cbk.gov.kw/en/monetary-policy/exchange-rate-policy</t>
        </is>
      </c>
    </row>
    <row r="15">
      <c r="A15" s="5" t="inlineStr">
        <is>
          <t>KWD</t>
        </is>
      </c>
      <c r="B15" s="5" t="inlineStr">
        <is>
          <t>H1 2026</t>
        </is>
      </c>
      <c r="C15" s="5" t="n">
        <v>0.3063</v>
      </c>
      <c r="D15" s="5" t="inlineStr">
        <is>
          <t>Period average (income items)</t>
        </is>
      </c>
      <c r="E15" s="5" t="inlineStr">
        <is>
          <t>Computed: simple average of 117 CBK daily USD rates, 4 Jan–30 Jun 2026 (306.30 fils)</t>
        </is>
      </c>
      <c r="F15" s="25" t="inlineStr">
        <is>
          <t>https://www.cbk.gov.kw/en/monetary-policy/market-operations/exchange-rates/usd</t>
        </is>
      </c>
    </row>
  </sheetData>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tableParts count="1">
    <tablePart xmlns:r="http://schemas.openxmlformats.org/officeDocument/2006/relationships" r:id="rId12"/>
  </tableParts>
</worksheet>
</file>

<file path=xl/worksheets/sheet14.xml><?xml version="1.0" encoding="utf-8"?>
<worksheet xmlns="http://schemas.openxmlformats.org/spreadsheetml/2006/main">
  <sheetPr>
    <outlinePr summaryBelow="1" summaryRight="1"/>
    <pageSetUpPr/>
  </sheetPr>
  <dimension ref="A1:D1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40" customWidth="1" min="3" max="3"/>
    <col width="120" customWidth="1" min="4" max="4"/>
  </cols>
  <sheetData>
    <row r="1">
      <c r="A1" s="6" t="inlineStr">
        <is>
          <t>Institution universe and inclusion criteria</t>
        </is>
      </c>
    </row>
    <row r="2">
      <c r="A2" s="7" t="inlineStr">
        <is>
          <t>Every planned institution, its research status, and names excluded or folded into another record, with reasons.</t>
        </is>
      </c>
    </row>
    <row r="4" ht="30" customHeight="1">
      <c r="A4" s="8" t="inlineStr">
        <is>
          <t>Kind</t>
        </is>
      </c>
      <c r="B4" s="8" t="inlineStr">
        <is>
          <t>ID</t>
        </is>
      </c>
      <c r="C4" s="8" t="inlineStr">
        <is>
          <t>Name</t>
        </is>
      </c>
      <c r="D4" s="8" t="inlineStr">
        <is>
          <t>Detail</t>
        </is>
      </c>
    </row>
    <row r="5">
      <c r="A5" s="9" t="inlineStr">
        <is>
          <t>Inclusion rule</t>
        </is>
      </c>
      <c r="B5" s="9" t="n"/>
      <c r="C5" s="5" t="n"/>
      <c r="D5" s="5" t="inlineStr">
        <is>
          <t>BANKS (category 'Bank'): every locally incorporated bank licensed for commercial or retail banking by one of the six GCC central banks (CBUAE, SAMA, QCB, CBK, CBB, CBO) — conventional, Islamic and licensed digital banks — plus GCC-headquartered wholesale/investment banks with a wealth or investment franchise.</t>
        </is>
      </c>
    </row>
    <row r="6">
      <c r="A6" s="9" t="inlineStr">
        <is>
          <t>Inclusion rule</t>
        </is>
      </c>
      <c r="B6" s="9" t="n"/>
      <c r="C6" s="5" t="n"/>
      <c r="D6" s="5" t="inlineStr">
        <is>
          <t>Separately licensed banks inside a group (Emirates Islamic, KFH Bahrain) get their own record with parent_id, because they have their own licence, management and customers; their figures are flagged to avoid double counting.</t>
        </is>
      </c>
    </row>
    <row r="7">
      <c r="A7" s="9" t="inlineStr">
        <is>
          <t>Inclusion rule</t>
        </is>
      </c>
      <c r="B7" s="9" t="n"/>
      <c r="C7" s="5" t="n"/>
      <c r="D7" s="5" t="inlineStr">
        <is>
          <t>BANK-OWNED INVESTMENT SUBSIDIARIES (category 'Bank-owned investment subsidiary'): in Saudi Arabia, the CMA-licensed capital-market arms of the banks are separate records, because they — not the bank — hold the wealth, brokerage and asset-management licences and would be the contracting party. Elsewhere, bank subsidiaries are captured inside the parent profile; Kamco Invest keeps its own record from the original workbook.</t>
        </is>
      </c>
    </row>
    <row r="8">
      <c r="A8" s="9" t="inlineStr">
        <is>
          <t>Inclusion rule</t>
        </is>
      </c>
      <c r="B8" s="9" t="n"/>
      <c r="C8" s="5" t="n"/>
      <c r="D8" s="5" t="inlineStr">
        <is>
          <t>NON-BANKS (category 'Non-bank'): licensed GCC wealth managers, brokerages, asset managers and digital investment platforms that distribute to retail, affluent or HNW clients, or alternatives managers with GCC private-wealth distribution — i.e. plausible ARTA distribution or product partners. Kept in a separate category in every view.</t>
        </is>
      </c>
    </row>
    <row r="9">
      <c r="A9" s="9" t="inlineStr">
        <is>
          <t>Inclusion rule</t>
        </is>
      </c>
      <c r="B9" s="9" t="n"/>
      <c r="C9" s="5" t="n"/>
      <c r="D9" s="5" t="inlineStr">
        <is>
          <t>INTERNATIONAL BANKS (category 'International bank (GCC operations)'): only the three foreign banks with large GCC retail/wealth franchises (Standard Chartered — carried over from the original workbook — HSBC and Citi). Profiled at GCC-relevant scope.</t>
        </is>
      </c>
    </row>
    <row r="10">
      <c r="A10" s="9" t="inlineStr">
        <is>
          <t>Inclusion rule</t>
        </is>
      </c>
      <c r="B10" s="9" t="n"/>
      <c r="C10" s="5" t="n"/>
      <c r="D10" s="5" t="inlineStr">
        <is>
          <t>EXCLUDED (listed in the coverage register with reason): state development and specialised lenders; foreign bank branches without a material GCC wealth franchise; sovereign wealth funds; insurers, payments, BNPL and crypto-only firms; direct ARTA competitors (wealth-tech vendors); banks absorbed by merger (recorded under the successor).</t>
        </is>
      </c>
    </row>
    <row r="11">
      <c r="A11" s="9" t="inlineStr">
        <is>
          <t>Planned institution</t>
        </is>
      </c>
      <c r="B11" s="9" t="inlineStr">
        <is>
          <t>ae-enbd</t>
        </is>
      </c>
      <c r="C11" s="5" t="inlineStr">
        <is>
          <t>Emirates NBD</t>
        </is>
      </c>
      <c r="D11" s="5" t="inlineStr">
        <is>
          <t>Outstanding (batch P1)</t>
        </is>
      </c>
    </row>
    <row r="12">
      <c r="A12" s="9" t="inlineStr">
        <is>
          <t>Planned institution</t>
        </is>
      </c>
      <c r="B12" s="9" t="inlineStr">
        <is>
          <t>ae-ei</t>
        </is>
      </c>
      <c r="C12" s="5" t="inlineStr">
        <is>
          <t>Emirates Islamic</t>
        </is>
      </c>
      <c r="D12" s="5" t="inlineStr">
        <is>
          <t>Outstanding (batch P1)</t>
        </is>
      </c>
    </row>
    <row r="13">
      <c r="A13" s="9" t="inlineStr">
        <is>
          <t>Planned institution</t>
        </is>
      </c>
      <c r="B13" s="9" t="inlineStr">
        <is>
          <t>sa-alinma</t>
        </is>
      </c>
      <c r="C13" s="5" t="inlineStr">
        <is>
          <t>Alinma Bank</t>
        </is>
      </c>
      <c r="D13" s="5" t="inlineStr">
        <is>
          <t>Outstanding (batch P2)</t>
        </is>
      </c>
    </row>
    <row r="14">
      <c r="A14" s="9" t="inlineStr">
        <is>
          <t>Planned institution</t>
        </is>
      </c>
      <c r="B14" s="9" t="inlineStr">
        <is>
          <t>sa-alinma-capital</t>
        </is>
      </c>
      <c r="C14" s="5" t="inlineStr">
        <is>
          <t>Alinma Capital (Alinma Investment)</t>
        </is>
      </c>
      <c r="D14" s="5" t="inlineStr">
        <is>
          <t>Outstanding (batch P2)</t>
        </is>
      </c>
    </row>
    <row r="15">
      <c r="A15" s="9" t="inlineStr">
        <is>
          <t>Planned institution</t>
        </is>
      </c>
      <c r="B15" s="9" t="inlineStr">
        <is>
          <t>ae-sarwa</t>
        </is>
      </c>
      <c r="C15" s="5" t="inlineStr">
        <is>
          <t>Sarwa</t>
        </is>
      </c>
      <c r="D15" s="5" t="inlineStr">
        <is>
          <t>Researched</t>
        </is>
      </c>
    </row>
    <row r="16">
      <c r="A16" s="9" t="inlineStr">
        <is>
          <t>Planned institution</t>
        </is>
      </c>
      <c r="B16" s="9" t="inlineStr">
        <is>
          <t>kw-markaz</t>
        </is>
      </c>
      <c r="C16" s="5" t="inlineStr">
        <is>
          <t>Markaz (Kuwait Financial Centre)</t>
        </is>
      </c>
      <c r="D16" s="5" t="inlineStr">
        <is>
          <t>Outstanding (batch P3)</t>
        </is>
      </c>
    </row>
    <row r="17">
      <c r="A17" s="9" t="inlineStr">
        <is>
          <t>Planned institution</t>
        </is>
      </c>
      <c r="B17" s="9" t="inlineStr">
        <is>
          <t>ae-fab</t>
        </is>
      </c>
      <c r="C17" s="5" t="inlineStr">
        <is>
          <t>First Abu Dhabi Bank</t>
        </is>
      </c>
      <c r="D17" s="5" t="inlineStr">
        <is>
          <t>Outstanding (batch B01)</t>
        </is>
      </c>
    </row>
    <row r="18">
      <c r="A18" s="9" t="inlineStr">
        <is>
          <t>Planned institution</t>
        </is>
      </c>
      <c r="B18" s="9" t="inlineStr">
        <is>
          <t>ae-adcb</t>
        </is>
      </c>
      <c r="C18" s="5" t="inlineStr">
        <is>
          <t>Abu Dhabi Commercial Bank</t>
        </is>
      </c>
      <c r="D18" s="5" t="inlineStr">
        <is>
          <t>Outstanding (batch B01)</t>
        </is>
      </c>
    </row>
    <row r="19">
      <c r="A19" s="9" t="inlineStr">
        <is>
          <t>Planned institution</t>
        </is>
      </c>
      <c r="B19" s="9" t="inlineStr">
        <is>
          <t>ae-dib</t>
        </is>
      </c>
      <c r="C19" s="5" t="inlineStr">
        <is>
          <t>Dubai Islamic Bank</t>
        </is>
      </c>
      <c r="D19" s="5" t="inlineStr">
        <is>
          <t>Outstanding (batch B02)</t>
        </is>
      </c>
    </row>
    <row r="20">
      <c r="A20" s="9" t="inlineStr">
        <is>
          <t>Planned institution</t>
        </is>
      </c>
      <c r="B20" s="9" t="inlineStr">
        <is>
          <t>ae-adib</t>
        </is>
      </c>
      <c r="C20" s="5" t="inlineStr">
        <is>
          <t>Abu Dhabi Islamic Bank</t>
        </is>
      </c>
      <c r="D20" s="5" t="inlineStr">
        <is>
          <t>Outstanding (batch B02)</t>
        </is>
      </c>
    </row>
    <row r="21">
      <c r="A21" s="9" t="inlineStr">
        <is>
          <t>Planned institution</t>
        </is>
      </c>
      <c r="B21" s="9" t="inlineStr">
        <is>
          <t>ae-mashreq</t>
        </is>
      </c>
      <c r="C21" s="5" t="inlineStr">
        <is>
          <t>Mashreq</t>
        </is>
      </c>
      <c r="D21" s="5" t="inlineStr">
        <is>
          <t>Outstanding (batch B03)</t>
        </is>
      </c>
    </row>
    <row r="22">
      <c r="A22" s="9" t="inlineStr">
        <is>
          <t>Planned institution</t>
        </is>
      </c>
      <c r="B22" s="9" t="inlineStr">
        <is>
          <t>ae-cbd</t>
        </is>
      </c>
      <c r="C22" s="5" t="inlineStr">
        <is>
          <t>Commercial Bank of Dubai</t>
        </is>
      </c>
      <c r="D22" s="5" t="inlineStr">
        <is>
          <t>Outstanding (batch B03)</t>
        </is>
      </c>
    </row>
    <row r="23">
      <c r="A23" s="9" t="inlineStr">
        <is>
          <t>Planned institution</t>
        </is>
      </c>
      <c r="B23" s="9" t="inlineStr">
        <is>
          <t>ae-rakbank</t>
        </is>
      </c>
      <c r="C23" s="5" t="inlineStr">
        <is>
          <t>RAKBANK (National Bank of Ras Al Khaimah)</t>
        </is>
      </c>
      <c r="D23" s="5" t="inlineStr">
        <is>
          <t>Outstanding (batch B04)</t>
        </is>
      </c>
    </row>
    <row r="24">
      <c r="A24" s="9" t="inlineStr">
        <is>
          <t>Planned institution</t>
        </is>
      </c>
      <c r="B24" s="9" t="inlineStr">
        <is>
          <t>ae-nbf</t>
        </is>
      </c>
      <c r="C24" s="5" t="inlineStr">
        <is>
          <t>National Bank of Fujairah</t>
        </is>
      </c>
      <c r="D24" s="5" t="inlineStr">
        <is>
          <t>Outstanding (batch B04)</t>
        </is>
      </c>
    </row>
    <row r="25">
      <c r="A25" s="9" t="inlineStr">
        <is>
          <t>Planned institution</t>
        </is>
      </c>
      <c r="B25" s="9" t="inlineStr">
        <is>
          <t>ae-sib</t>
        </is>
      </c>
      <c r="C25" s="5" t="inlineStr">
        <is>
          <t>Sharjah Islamic Bank</t>
        </is>
      </c>
      <c r="D25" s="5" t="inlineStr">
        <is>
          <t>Outstanding (batch B04)</t>
        </is>
      </c>
    </row>
    <row r="26">
      <c r="A26" s="9" t="inlineStr">
        <is>
          <t>Planned institution</t>
        </is>
      </c>
      <c r="B26" s="9" t="inlineStr">
        <is>
          <t>ae-bos</t>
        </is>
      </c>
      <c r="C26" s="5" t="inlineStr">
        <is>
          <t>Bank of Sharjah</t>
        </is>
      </c>
      <c r="D26" s="5" t="inlineStr">
        <is>
          <t>Outstanding (batch B05)</t>
        </is>
      </c>
    </row>
    <row r="27">
      <c r="A27" s="9" t="inlineStr">
        <is>
          <t>Planned institution</t>
        </is>
      </c>
      <c r="B27" s="9" t="inlineStr">
        <is>
          <t>ae-cbi</t>
        </is>
      </c>
      <c r="C27" s="5" t="inlineStr">
        <is>
          <t>Commercial Bank International</t>
        </is>
      </c>
      <c r="D27" s="5" t="inlineStr">
        <is>
          <t>Outstanding (batch B05)</t>
        </is>
      </c>
    </row>
    <row r="28">
      <c r="A28" s="9" t="inlineStr">
        <is>
          <t>Planned institution</t>
        </is>
      </c>
      <c r="B28" s="9" t="inlineStr">
        <is>
          <t>ae-investbank</t>
        </is>
      </c>
      <c r="C28" s="5" t="inlineStr">
        <is>
          <t>Invest Bank</t>
        </is>
      </c>
      <c r="D28" s="5" t="inlineStr">
        <is>
          <t>Outstanding (batch B05)</t>
        </is>
      </c>
    </row>
    <row r="29">
      <c r="A29" s="9" t="inlineStr">
        <is>
          <t>Planned institution</t>
        </is>
      </c>
      <c r="B29" s="9" t="inlineStr">
        <is>
          <t>ae-ajman</t>
        </is>
      </c>
      <c r="C29" s="5" t="inlineStr">
        <is>
          <t>Ajman Bank</t>
        </is>
      </c>
      <c r="D29" s="5" t="inlineStr">
        <is>
          <t>Outstanding (batch B05)</t>
        </is>
      </c>
    </row>
    <row r="30">
      <c r="A30" s="9" t="inlineStr">
        <is>
          <t>Planned institution</t>
        </is>
      </c>
      <c r="B30" s="9" t="inlineStr">
        <is>
          <t>ae-uab</t>
        </is>
      </c>
      <c r="C30" s="5" t="inlineStr">
        <is>
          <t>United Arab Bank</t>
        </is>
      </c>
      <c r="D30" s="5" t="inlineStr">
        <is>
          <t>Outstanding (batch B06)</t>
        </is>
      </c>
    </row>
    <row r="31">
      <c r="A31" s="9" t="inlineStr">
        <is>
          <t>Planned institution</t>
        </is>
      </c>
      <c r="B31" s="9" t="inlineStr">
        <is>
          <t>ae-nbq</t>
        </is>
      </c>
      <c r="C31" s="5" t="inlineStr">
        <is>
          <t>National Bank of Umm Al Qaiwain</t>
        </is>
      </c>
      <c r="D31" s="5" t="inlineStr">
        <is>
          <t>Outstanding (batch B06)</t>
        </is>
      </c>
    </row>
    <row r="32">
      <c r="A32" s="9" t="inlineStr">
        <is>
          <t>Planned institution</t>
        </is>
      </c>
      <c r="B32" s="9" t="inlineStr">
        <is>
          <t>ae-almasraf</t>
        </is>
      </c>
      <c r="C32" s="5" t="inlineStr">
        <is>
          <t>Al Masraf (Arab Bank for Investment and Foreign Trade)</t>
        </is>
      </c>
      <c r="D32" s="5" t="inlineStr">
        <is>
          <t>Outstanding (batch B06)</t>
        </is>
      </c>
    </row>
    <row r="33">
      <c r="A33" s="9" t="inlineStr">
        <is>
          <t>Planned institution</t>
        </is>
      </c>
      <c r="B33" s="9" t="inlineStr">
        <is>
          <t>ae-eib</t>
        </is>
      </c>
      <c r="C33" s="5" t="inlineStr">
        <is>
          <t>Emirates Investment Bank</t>
        </is>
      </c>
      <c r="D33" s="5" t="inlineStr">
        <is>
          <t>Outstanding (batch B06)</t>
        </is>
      </c>
    </row>
    <row r="34">
      <c r="A34" s="9" t="inlineStr">
        <is>
          <t>Planned institution</t>
        </is>
      </c>
      <c r="B34" s="9" t="inlineStr">
        <is>
          <t>ae-wio</t>
        </is>
      </c>
      <c r="C34" s="5" t="inlineStr">
        <is>
          <t>Wio Bank</t>
        </is>
      </c>
      <c r="D34" s="5" t="inlineStr">
        <is>
          <t>Outstanding (batch B07)</t>
        </is>
      </c>
    </row>
    <row r="35">
      <c r="A35" s="9" t="inlineStr">
        <is>
          <t>Planned institution</t>
        </is>
      </c>
      <c r="B35" s="9" t="inlineStr">
        <is>
          <t>ae-zand</t>
        </is>
      </c>
      <c r="C35" s="5" t="inlineStr">
        <is>
          <t>Zand Bank</t>
        </is>
      </c>
      <c r="D35" s="5" t="inlineStr">
        <is>
          <t>Outstanding (batch B07)</t>
        </is>
      </c>
    </row>
    <row r="36">
      <c r="A36" s="9" t="inlineStr">
        <is>
          <t>Planned institution</t>
        </is>
      </c>
      <c r="B36" s="9" t="inlineStr">
        <is>
          <t>ae-ruya</t>
        </is>
      </c>
      <c r="C36" s="5" t="inlineStr">
        <is>
          <t>Ruya Community Islamic Bank</t>
        </is>
      </c>
      <c r="D36" s="5" t="inlineStr">
        <is>
          <t>Outstanding (batch B07)</t>
        </is>
      </c>
    </row>
    <row r="37">
      <c r="A37" s="9" t="inlineStr">
        <is>
          <t>Planned institution</t>
        </is>
      </c>
      <c r="B37" s="9" t="inlineStr">
        <is>
          <t>ae-mbank</t>
        </is>
      </c>
      <c r="C37" s="5" t="inlineStr">
        <is>
          <t>Mbank (Al Maryah Community Bank)</t>
        </is>
      </c>
      <c r="D37" s="5" t="inlineStr">
        <is>
          <t>Outstanding (batch B07)</t>
        </is>
      </c>
    </row>
    <row r="38">
      <c r="A38" s="9" t="inlineStr">
        <is>
          <t>Planned institution</t>
        </is>
      </c>
      <c r="B38" s="9" t="inlineStr">
        <is>
          <t>ae-financehouse</t>
        </is>
      </c>
      <c r="C38" s="5" t="inlineStr">
        <is>
          <t>Finance House</t>
        </is>
      </c>
      <c r="D38" s="5" t="inlineStr">
        <is>
          <t>Outstanding (batch B08)</t>
        </is>
      </c>
    </row>
    <row r="39">
      <c r="A39" s="9" t="inlineStr">
        <is>
          <t>Planned institution</t>
        </is>
      </c>
      <c r="B39" s="9" t="inlineStr">
        <is>
          <t>ae-intlsecurities</t>
        </is>
      </c>
      <c r="C39" s="5" t="inlineStr">
        <is>
          <t>International Securities</t>
        </is>
      </c>
      <c r="D39" s="5" t="inlineStr">
        <is>
          <t>Outstanding (batch B08)</t>
        </is>
      </c>
    </row>
    <row r="40">
      <c r="A40" s="9" t="inlineStr">
        <is>
          <t>Planned institution</t>
        </is>
      </c>
      <c r="B40" s="9" t="inlineStr">
        <is>
          <t>ae-alramz</t>
        </is>
      </c>
      <c r="C40" s="5" t="inlineStr">
        <is>
          <t>Al Ramz Capital</t>
        </is>
      </c>
      <c r="D40" s="5" t="inlineStr">
        <is>
          <t>Outstanding (batch B08)</t>
        </is>
      </c>
    </row>
    <row r="41">
      <c r="A41" s="9" t="inlineStr">
        <is>
          <t>Planned institution</t>
        </is>
      </c>
      <c r="B41" s="9" t="inlineStr">
        <is>
          <t>ae-shuaa</t>
        </is>
      </c>
      <c r="C41" s="5" t="inlineStr">
        <is>
          <t>SHUAA Capital</t>
        </is>
      </c>
      <c r="D41" s="5" t="inlineStr">
        <is>
          <t>Outstanding (batch B08)</t>
        </is>
      </c>
    </row>
    <row r="42">
      <c r="A42" s="9" t="inlineStr">
        <is>
          <t>Planned institution</t>
        </is>
      </c>
      <c r="B42" s="9" t="inlineStr">
        <is>
          <t>ae-arqaam</t>
        </is>
      </c>
      <c r="C42" s="5" t="inlineStr">
        <is>
          <t>Arqaam Capital</t>
        </is>
      </c>
      <c r="D42" s="5" t="inlineStr">
        <is>
          <t>Outstanding (batch B08)</t>
        </is>
      </c>
    </row>
    <row r="43">
      <c r="A43" s="9" t="inlineStr">
        <is>
          <t>Planned institution</t>
        </is>
      </c>
      <c r="B43" s="9" t="inlineStr">
        <is>
          <t>ae-baraka</t>
        </is>
      </c>
      <c r="C43" s="5" t="inlineStr">
        <is>
          <t>Baraka</t>
        </is>
      </c>
      <c r="D43" s="5" t="inlineStr">
        <is>
          <t>Outstanding (batch B09)</t>
        </is>
      </c>
    </row>
    <row r="44">
      <c r="A44" s="9" t="inlineStr">
        <is>
          <t>Planned institution</t>
        </is>
      </c>
      <c r="B44" s="9" t="inlineStr">
        <is>
          <t>ae-stashaway</t>
        </is>
      </c>
      <c r="C44" s="5" t="inlineStr">
        <is>
          <t>StashAway (MENA)</t>
        </is>
      </c>
      <c r="D44" s="5" t="inlineStr">
        <is>
          <t>Outstanding (batch B09)</t>
        </is>
      </c>
    </row>
    <row r="45">
      <c r="A45" s="9" t="inlineStr">
        <is>
          <t>Planned institution</t>
        </is>
      </c>
      <c r="B45" s="9" t="inlineStr">
        <is>
          <t>kw-kic</t>
        </is>
      </c>
      <c r="C45" s="5" t="inlineStr">
        <is>
          <t>Kuwait Investment Company</t>
        </is>
      </c>
      <c r="D45" s="5" t="inlineStr">
        <is>
          <t>Outstanding (batch B09)</t>
        </is>
      </c>
    </row>
    <row r="46">
      <c r="A46" s="9" t="inlineStr">
        <is>
          <t>Planned institution</t>
        </is>
      </c>
      <c r="B46" s="9" t="inlineStr">
        <is>
          <t>om-ubhar</t>
        </is>
      </c>
      <c r="C46" s="5" t="inlineStr">
        <is>
          <t>Ubhar Capital</t>
        </is>
      </c>
      <c r="D46" s="5" t="inlineStr">
        <is>
          <t>Outstanding (batch B09)</t>
        </is>
      </c>
    </row>
    <row r="47">
      <c r="A47" s="9" t="inlineStr">
        <is>
          <t>Planned institution</t>
        </is>
      </c>
      <c r="B47" s="9" t="inlineStr">
        <is>
          <t>sa-snb</t>
        </is>
      </c>
      <c r="C47" s="5" t="inlineStr">
        <is>
          <t>Saudi National Bank</t>
        </is>
      </c>
      <c r="D47" s="5" t="inlineStr">
        <is>
          <t>Outstanding (batch B10)</t>
        </is>
      </c>
    </row>
    <row r="48">
      <c r="A48" s="9" t="inlineStr">
        <is>
          <t>Planned institution</t>
        </is>
      </c>
      <c r="B48" s="9" t="inlineStr">
        <is>
          <t>sa-snb-capital</t>
        </is>
      </c>
      <c r="C48" s="5" t="inlineStr">
        <is>
          <t>SNB Capital</t>
        </is>
      </c>
      <c r="D48" s="5" t="inlineStr">
        <is>
          <t>Outstanding (batch B10)</t>
        </is>
      </c>
    </row>
    <row r="49">
      <c r="A49" s="9" t="inlineStr">
        <is>
          <t>Planned institution</t>
        </is>
      </c>
      <c r="B49" s="9" t="inlineStr">
        <is>
          <t>sa-alrajhi</t>
        </is>
      </c>
      <c r="C49" s="5" t="inlineStr">
        <is>
          <t>Al Rajhi Bank</t>
        </is>
      </c>
      <c r="D49" s="5" t="inlineStr">
        <is>
          <t>Outstanding (batch B11)</t>
        </is>
      </c>
    </row>
    <row r="50">
      <c r="A50" s="9" t="inlineStr">
        <is>
          <t>Planned institution</t>
        </is>
      </c>
      <c r="B50" s="9" t="inlineStr">
        <is>
          <t>sa-alrajhi-capital</t>
        </is>
      </c>
      <c r="C50" s="5" t="inlineStr">
        <is>
          <t>Al Rajhi Capital</t>
        </is>
      </c>
      <c r="D50" s="5" t="inlineStr">
        <is>
          <t>Outstanding (batch B11)</t>
        </is>
      </c>
    </row>
    <row r="51">
      <c r="A51" s="9" t="inlineStr">
        <is>
          <t>Planned institution</t>
        </is>
      </c>
      <c r="B51" s="9" t="inlineStr">
        <is>
          <t>sa-riyad</t>
        </is>
      </c>
      <c r="C51" s="5" t="inlineStr">
        <is>
          <t>Riyad Bank</t>
        </is>
      </c>
      <c r="D51" s="5" t="inlineStr">
        <is>
          <t>Outstanding (batch B12)</t>
        </is>
      </c>
    </row>
    <row r="52">
      <c r="A52" s="9" t="inlineStr">
        <is>
          <t>Planned institution</t>
        </is>
      </c>
      <c r="B52" s="9" t="inlineStr">
        <is>
          <t>sa-riyad-capital</t>
        </is>
      </c>
      <c r="C52" s="5" t="inlineStr">
        <is>
          <t>Riyad Capital</t>
        </is>
      </c>
      <c r="D52" s="5" t="inlineStr">
        <is>
          <t>Outstanding (batch B12)</t>
        </is>
      </c>
    </row>
    <row r="53">
      <c r="A53" s="9" t="inlineStr">
        <is>
          <t>Planned institution</t>
        </is>
      </c>
      <c r="B53" s="9" t="inlineStr">
        <is>
          <t>sa-sab</t>
        </is>
      </c>
      <c r="C53" s="5" t="inlineStr">
        <is>
          <t>Saudi Awwal Bank (SAB)</t>
        </is>
      </c>
      <c r="D53" s="5" t="inlineStr">
        <is>
          <t>Outstanding (batch B13)</t>
        </is>
      </c>
    </row>
    <row r="54">
      <c r="A54" s="9" t="inlineStr">
        <is>
          <t>Planned institution</t>
        </is>
      </c>
      <c r="B54" s="9" t="inlineStr">
        <is>
          <t>sa-sab-invest</t>
        </is>
      </c>
      <c r="C54" s="5" t="inlineStr">
        <is>
          <t>SAB Invest</t>
        </is>
      </c>
      <c r="D54" s="5" t="inlineStr">
        <is>
          <t>Outstanding (batch B13)</t>
        </is>
      </c>
    </row>
    <row r="55">
      <c r="A55" s="9" t="inlineStr">
        <is>
          <t>Planned institution</t>
        </is>
      </c>
      <c r="B55" s="9" t="inlineStr">
        <is>
          <t>sa-bsf</t>
        </is>
      </c>
      <c r="C55" s="5" t="inlineStr">
        <is>
          <t>Banque Saudi Fransi</t>
        </is>
      </c>
      <c r="D55" s="5" t="inlineStr">
        <is>
          <t>Outstanding (batch B13)</t>
        </is>
      </c>
    </row>
    <row r="56">
      <c r="A56" s="9" t="inlineStr">
        <is>
          <t>Planned institution</t>
        </is>
      </c>
      <c r="B56" s="9" t="inlineStr">
        <is>
          <t>sa-bsf-capital</t>
        </is>
      </c>
      <c r="C56" s="5" t="inlineStr">
        <is>
          <t>Saudi Fransi Capital</t>
        </is>
      </c>
      <c r="D56" s="5" t="inlineStr">
        <is>
          <t>Outstanding (batch B13)</t>
        </is>
      </c>
    </row>
    <row r="57">
      <c r="A57" s="9" t="inlineStr">
        <is>
          <t>Planned institution</t>
        </is>
      </c>
      <c r="B57" s="9" t="inlineStr">
        <is>
          <t>sa-anb</t>
        </is>
      </c>
      <c r="C57" s="5" t="inlineStr">
        <is>
          <t>Arab National Bank</t>
        </is>
      </c>
      <c r="D57" s="5" t="inlineStr">
        <is>
          <t>Outstanding (batch B14)</t>
        </is>
      </c>
    </row>
    <row r="58">
      <c r="A58" s="9" t="inlineStr">
        <is>
          <t>Planned institution</t>
        </is>
      </c>
      <c r="B58" s="9" t="inlineStr">
        <is>
          <t>sa-anb-capital</t>
        </is>
      </c>
      <c r="C58" s="5" t="inlineStr">
        <is>
          <t>ANB Capital</t>
        </is>
      </c>
      <c r="D58" s="5" t="inlineStr">
        <is>
          <t>Outstanding (batch B14)</t>
        </is>
      </c>
    </row>
    <row r="59">
      <c r="A59" s="9" t="inlineStr">
        <is>
          <t>Planned institution</t>
        </is>
      </c>
      <c r="B59" s="9" t="inlineStr">
        <is>
          <t>sa-albilad</t>
        </is>
      </c>
      <c r="C59" s="5" t="inlineStr">
        <is>
          <t>Bank Albilad</t>
        </is>
      </c>
      <c r="D59" s="5" t="inlineStr">
        <is>
          <t>Outstanding (batch B14)</t>
        </is>
      </c>
    </row>
    <row r="60">
      <c r="A60" s="9" t="inlineStr">
        <is>
          <t>Planned institution</t>
        </is>
      </c>
      <c r="B60" s="9" t="inlineStr">
        <is>
          <t>sa-albilad-capital</t>
        </is>
      </c>
      <c r="C60" s="5" t="inlineStr">
        <is>
          <t>Albilad Capital</t>
        </is>
      </c>
      <c r="D60" s="5" t="inlineStr">
        <is>
          <t>Outstanding (batch B14)</t>
        </is>
      </c>
    </row>
    <row r="61">
      <c r="A61" s="9" t="inlineStr">
        <is>
          <t>Planned institution</t>
        </is>
      </c>
      <c r="B61" s="9" t="inlineStr">
        <is>
          <t>sa-aljazira</t>
        </is>
      </c>
      <c r="C61" s="5" t="inlineStr">
        <is>
          <t>Bank AlJazira</t>
        </is>
      </c>
      <c r="D61" s="5" t="inlineStr">
        <is>
          <t>Outstanding (batch B15)</t>
        </is>
      </c>
    </row>
    <row r="62">
      <c r="A62" s="9" t="inlineStr">
        <is>
          <t>Planned institution</t>
        </is>
      </c>
      <c r="B62" s="9" t="inlineStr">
        <is>
          <t>sa-aljazira-capital</t>
        </is>
      </c>
      <c r="C62" s="5" t="inlineStr">
        <is>
          <t>Aljazira Capital</t>
        </is>
      </c>
      <c r="D62" s="5" t="inlineStr">
        <is>
          <t>Outstanding (batch B15)</t>
        </is>
      </c>
    </row>
    <row r="63">
      <c r="A63" s="9" t="inlineStr">
        <is>
          <t>Planned institution</t>
        </is>
      </c>
      <c r="B63" s="9" t="inlineStr">
        <is>
          <t>sa-saib</t>
        </is>
      </c>
      <c r="C63" s="5" t="inlineStr">
        <is>
          <t>Saudi Investment Bank</t>
        </is>
      </c>
      <c r="D63" s="5" t="inlineStr">
        <is>
          <t>Outstanding (batch B15)</t>
        </is>
      </c>
    </row>
    <row r="64">
      <c r="A64" s="9" t="inlineStr">
        <is>
          <t>Planned institution</t>
        </is>
      </c>
      <c r="B64" s="9" t="inlineStr">
        <is>
          <t>sa-alistithmar-capital</t>
        </is>
      </c>
      <c r="C64" s="5" t="inlineStr">
        <is>
          <t>Alistithmar Capital</t>
        </is>
      </c>
      <c r="D64" s="5" t="inlineStr">
        <is>
          <t>Outstanding (batch B15)</t>
        </is>
      </c>
    </row>
    <row r="65">
      <c r="A65" s="9" t="inlineStr">
        <is>
          <t>Planned institution</t>
        </is>
      </c>
      <c r="B65" s="9" t="inlineStr">
        <is>
          <t>sa-stcbank</t>
        </is>
      </c>
      <c r="C65" s="5" t="inlineStr">
        <is>
          <t>STC Bank</t>
        </is>
      </c>
      <c r="D65" s="5" t="inlineStr">
        <is>
          <t>Outstanding (batch B16)</t>
        </is>
      </c>
    </row>
    <row r="66">
      <c r="A66" s="9" t="inlineStr">
        <is>
          <t>Planned institution</t>
        </is>
      </c>
      <c r="B66" s="9" t="inlineStr">
        <is>
          <t>sa-d360</t>
        </is>
      </c>
      <c r="C66" s="5" t="inlineStr">
        <is>
          <t>D360 Bank</t>
        </is>
      </c>
      <c r="D66" s="5" t="inlineStr">
        <is>
          <t>Outstanding (batch B16)</t>
        </is>
      </c>
    </row>
    <row r="67">
      <c r="A67" s="9" t="inlineStr">
        <is>
          <t>Planned institution</t>
        </is>
      </c>
      <c r="B67" s="9" t="inlineStr">
        <is>
          <t>sa-visionbank</t>
        </is>
      </c>
      <c r="C67" s="5" t="inlineStr">
        <is>
          <t>Vision Bank</t>
        </is>
      </c>
      <c r="D67" s="5" t="inlineStr">
        <is>
          <t>Outstanding (batch B16)</t>
        </is>
      </c>
    </row>
    <row r="68">
      <c r="A68" s="9" t="inlineStr">
        <is>
          <t>Planned institution</t>
        </is>
      </c>
      <c r="B68" s="9" t="inlineStr">
        <is>
          <t>sa-derayah</t>
        </is>
      </c>
      <c r="C68" s="5" t="inlineStr">
        <is>
          <t>Derayah Financial</t>
        </is>
      </c>
      <c r="D68" s="5" t="inlineStr">
        <is>
          <t>Outstanding (batch B17)</t>
        </is>
      </c>
    </row>
    <row r="69">
      <c r="A69" s="9" t="inlineStr">
        <is>
          <t>Planned institution</t>
        </is>
      </c>
      <c r="B69" s="9" t="inlineStr">
        <is>
          <t>sa-sahm</t>
        </is>
      </c>
      <c r="C69" s="5" t="inlineStr">
        <is>
          <t>Sahm Capital</t>
        </is>
      </c>
      <c r="D69" s="5" t="inlineStr">
        <is>
          <t>Outstanding (batch B17)</t>
        </is>
      </c>
    </row>
    <row r="70">
      <c r="A70" s="9" t="inlineStr">
        <is>
          <t>Planned institution</t>
        </is>
      </c>
      <c r="B70" s="9" t="inlineStr">
        <is>
          <t>sa-abyan</t>
        </is>
      </c>
      <c r="C70" s="5" t="inlineStr">
        <is>
          <t>Abyan Capital</t>
        </is>
      </c>
      <c r="D70" s="5" t="inlineStr">
        <is>
          <t>Outstanding (batch B17)</t>
        </is>
      </c>
    </row>
    <row r="71">
      <c r="A71" s="9" t="inlineStr">
        <is>
          <t>Planned institution</t>
        </is>
      </c>
      <c r="B71" s="9" t="inlineStr">
        <is>
          <t>sa-jadwa</t>
        </is>
      </c>
      <c r="C71" s="5" t="inlineStr">
        <is>
          <t>Jadwa Investment</t>
        </is>
      </c>
      <c r="D71" s="5" t="inlineStr">
        <is>
          <t>Outstanding (batch B18)</t>
        </is>
      </c>
    </row>
    <row r="72">
      <c r="A72" s="9" t="inlineStr">
        <is>
          <t>Planned institution</t>
        </is>
      </c>
      <c r="B72" s="9" t="inlineStr">
        <is>
          <t>sa-alkhabeer</t>
        </is>
      </c>
      <c r="C72" s="5" t="inlineStr">
        <is>
          <t>Alkhabeer Capital</t>
        </is>
      </c>
      <c r="D72" s="5" t="inlineStr">
        <is>
          <t>Outstanding (batch B18)</t>
        </is>
      </c>
    </row>
    <row r="73">
      <c r="A73" s="9" t="inlineStr">
        <is>
          <t>Planned institution</t>
        </is>
      </c>
      <c r="B73" s="9" t="inlineStr">
        <is>
          <t>sa-sedco</t>
        </is>
      </c>
      <c r="C73" s="5" t="inlineStr">
        <is>
          <t>SEDCO Capital</t>
        </is>
      </c>
      <c r="D73" s="5" t="inlineStr">
        <is>
          <t>Outstanding (batch B18)</t>
        </is>
      </c>
    </row>
    <row r="74">
      <c r="A74" s="9" t="inlineStr">
        <is>
          <t>Planned institution</t>
        </is>
      </c>
      <c r="B74" s="9" t="inlineStr">
        <is>
          <t>qa-qnb</t>
        </is>
      </c>
      <c r="C74" s="5" t="inlineStr">
        <is>
          <t>QNB Group</t>
        </is>
      </c>
      <c r="D74" s="5" t="inlineStr">
        <is>
          <t>Outstanding (batch B19)</t>
        </is>
      </c>
    </row>
    <row r="75">
      <c r="A75" s="9" t="inlineStr">
        <is>
          <t>Planned institution</t>
        </is>
      </c>
      <c r="B75" s="9" t="inlineStr">
        <is>
          <t>qa-qib</t>
        </is>
      </c>
      <c r="C75" s="5" t="inlineStr">
        <is>
          <t>Qatar Islamic Bank</t>
        </is>
      </c>
      <c r="D75" s="5" t="inlineStr">
        <is>
          <t>Outstanding (batch B19)</t>
        </is>
      </c>
    </row>
    <row r="76">
      <c r="A76" s="9" t="inlineStr">
        <is>
          <t>Planned institution</t>
        </is>
      </c>
      <c r="B76" s="9" t="inlineStr">
        <is>
          <t>qa-cbq</t>
        </is>
      </c>
      <c r="C76" s="5" t="inlineStr">
        <is>
          <t>Commercial Bank (Qatar)</t>
        </is>
      </c>
      <c r="D76" s="5" t="inlineStr">
        <is>
          <t>Outstanding (batch B20)</t>
        </is>
      </c>
    </row>
    <row r="77">
      <c r="A77" s="9" t="inlineStr">
        <is>
          <t>Planned institution</t>
        </is>
      </c>
      <c r="B77" s="9" t="inlineStr">
        <is>
          <t>qa-dohabank</t>
        </is>
      </c>
      <c r="C77" s="5" t="inlineStr">
        <is>
          <t>Doha Bank</t>
        </is>
      </c>
      <c r="D77" s="5" t="inlineStr">
        <is>
          <t>Outstanding (batch B20)</t>
        </is>
      </c>
    </row>
    <row r="78">
      <c r="A78" s="9" t="inlineStr">
        <is>
          <t>Planned institution</t>
        </is>
      </c>
      <c r="B78" s="9" t="inlineStr">
        <is>
          <t>qa-mar</t>
        </is>
      </c>
      <c r="C78" s="5" t="inlineStr">
        <is>
          <t>Masraf Al Rayan</t>
        </is>
      </c>
      <c r="D78" s="5" t="inlineStr">
        <is>
          <t>Outstanding (batch B20)</t>
        </is>
      </c>
    </row>
    <row r="79">
      <c r="A79" s="9" t="inlineStr">
        <is>
          <t>Planned institution</t>
        </is>
      </c>
      <c r="B79" s="9" t="inlineStr">
        <is>
          <t>qa-dukhan</t>
        </is>
      </c>
      <c r="C79" s="5" t="inlineStr">
        <is>
          <t>Dukhan Bank</t>
        </is>
      </c>
      <c r="D79" s="5" t="inlineStr">
        <is>
          <t>Outstanding (batch B21)</t>
        </is>
      </c>
    </row>
    <row r="80">
      <c r="A80" s="9" t="inlineStr">
        <is>
          <t>Planned institution</t>
        </is>
      </c>
      <c r="B80" s="9" t="inlineStr">
        <is>
          <t>qa-ahlibank</t>
        </is>
      </c>
      <c r="C80" s="5" t="inlineStr">
        <is>
          <t>Ahlibank (Qatar)</t>
        </is>
      </c>
      <c r="D80" s="5" t="inlineStr">
        <is>
          <t>Outstanding (batch B21)</t>
        </is>
      </c>
    </row>
    <row r="81">
      <c r="A81" s="9" t="inlineStr">
        <is>
          <t>Planned institution</t>
        </is>
      </c>
      <c r="B81" s="9" t="inlineStr">
        <is>
          <t>qa-qiib</t>
        </is>
      </c>
      <c r="C81" s="5" t="inlineStr">
        <is>
          <t>Qatar International Islamic Bank</t>
        </is>
      </c>
      <c r="D81" s="5" t="inlineStr">
        <is>
          <t>Outstanding (batch B21)</t>
        </is>
      </c>
    </row>
    <row r="82">
      <c r="A82" s="9" t="inlineStr">
        <is>
          <t>Planned institution</t>
        </is>
      </c>
      <c r="B82" s="9" t="inlineStr">
        <is>
          <t>qa-lesha</t>
        </is>
      </c>
      <c r="C82" s="5" t="inlineStr">
        <is>
          <t>Lesha Bank</t>
        </is>
      </c>
      <c r="D82" s="5" t="inlineStr">
        <is>
          <t>Outstanding (batch B21)</t>
        </is>
      </c>
    </row>
    <row r="83">
      <c r="A83" s="9" t="inlineStr">
        <is>
          <t>Planned institution</t>
        </is>
      </c>
      <c r="B83" s="9" t="inlineStr">
        <is>
          <t>qa-qinvest</t>
        </is>
      </c>
      <c r="C83" s="5" t="inlineStr">
        <is>
          <t>QInvest</t>
        </is>
      </c>
      <c r="D83" s="5" t="inlineStr">
        <is>
          <t>Outstanding (batch B22)</t>
        </is>
      </c>
    </row>
    <row r="84">
      <c r="A84" s="9" t="inlineStr">
        <is>
          <t>Planned institution</t>
        </is>
      </c>
      <c r="B84" s="9" t="inlineStr">
        <is>
          <t>qa-dlala</t>
        </is>
      </c>
      <c r="C84" s="5" t="inlineStr">
        <is>
          <t>Dlala Brokerage and Investment Holding</t>
        </is>
      </c>
      <c r="D84" s="5" t="inlineStr">
        <is>
          <t>Outstanding (batch B22)</t>
        </is>
      </c>
    </row>
    <row r="85">
      <c r="A85" s="9" t="inlineStr">
        <is>
          <t>Planned institution</t>
        </is>
      </c>
      <c r="B85" s="9" t="inlineStr">
        <is>
          <t>bh-investcorp</t>
        </is>
      </c>
      <c r="C85" s="5" t="inlineStr">
        <is>
          <t>Investcorp</t>
        </is>
      </c>
      <c r="D85" s="5" t="inlineStr">
        <is>
          <t>Outstanding (batch B22)</t>
        </is>
      </c>
    </row>
    <row r="86">
      <c r="A86" s="9" t="inlineStr">
        <is>
          <t>Planned institution</t>
        </is>
      </c>
      <c r="B86" s="9" t="inlineStr">
        <is>
          <t>kw-nbk</t>
        </is>
      </c>
      <c r="C86" s="5" t="inlineStr">
        <is>
          <t>National Bank of Kuwait</t>
        </is>
      </c>
      <c r="D86" s="5" t="inlineStr">
        <is>
          <t>Outstanding (batch B23)</t>
        </is>
      </c>
    </row>
    <row r="87">
      <c r="A87" s="9" t="inlineStr">
        <is>
          <t>Planned institution</t>
        </is>
      </c>
      <c r="B87" s="9" t="inlineStr">
        <is>
          <t>kw-boubyan</t>
        </is>
      </c>
      <c r="C87" s="5" t="inlineStr">
        <is>
          <t>Boubyan Bank</t>
        </is>
      </c>
      <c r="D87" s="5" t="inlineStr">
        <is>
          <t>Outstanding (batch B23)</t>
        </is>
      </c>
    </row>
    <row r="88">
      <c r="A88" s="9" t="inlineStr">
        <is>
          <t>Planned institution</t>
        </is>
      </c>
      <c r="B88" s="9" t="inlineStr">
        <is>
          <t>kw-kfh</t>
        </is>
      </c>
      <c r="C88" s="5" t="inlineStr">
        <is>
          <t>Kuwait Finance House</t>
        </is>
      </c>
      <c r="D88" s="5" t="inlineStr">
        <is>
          <t>Outstanding (batch B24)</t>
        </is>
      </c>
    </row>
    <row r="89">
      <c r="A89" s="9" t="inlineStr">
        <is>
          <t>Planned institution</t>
        </is>
      </c>
      <c r="B89" s="9" t="inlineStr">
        <is>
          <t>bh-kfhbahrain</t>
        </is>
      </c>
      <c r="C89" s="5" t="inlineStr">
        <is>
          <t>Kuwait Finance House (Bahrain)</t>
        </is>
      </c>
      <c r="D89" s="5" t="inlineStr">
        <is>
          <t>Outstanding (batch B24)</t>
        </is>
      </c>
    </row>
    <row r="90">
      <c r="A90" s="9" t="inlineStr">
        <is>
          <t>Planned institution</t>
        </is>
      </c>
      <c r="B90" s="9" t="inlineStr">
        <is>
          <t>kw-burgan</t>
        </is>
      </c>
      <c r="C90" s="5" t="inlineStr">
        <is>
          <t>Burgan Bank</t>
        </is>
      </c>
      <c r="D90" s="5" t="inlineStr">
        <is>
          <t>Outstanding (batch B25)</t>
        </is>
      </c>
    </row>
    <row r="91">
      <c r="A91" s="9" t="inlineStr">
        <is>
          <t>Planned institution</t>
        </is>
      </c>
      <c r="B91" s="9" t="inlineStr">
        <is>
          <t>kw-kamco</t>
        </is>
      </c>
      <c r="C91" s="5" t="inlineStr">
        <is>
          <t>Kamco Invest</t>
        </is>
      </c>
      <c r="D91" s="5" t="inlineStr">
        <is>
          <t>Outstanding (batch B25)</t>
        </is>
      </c>
    </row>
    <row r="92">
      <c r="A92" s="9" t="inlineStr">
        <is>
          <t>Planned institution</t>
        </is>
      </c>
      <c r="B92" s="9" t="inlineStr">
        <is>
          <t>kw-warba</t>
        </is>
      </c>
      <c r="C92" s="5" t="inlineStr">
        <is>
          <t>Warba Bank</t>
        </is>
      </c>
      <c r="D92" s="5" t="inlineStr">
        <is>
          <t>Outstanding (batch B25)</t>
        </is>
      </c>
    </row>
    <row r="93">
      <c r="A93" s="9" t="inlineStr">
        <is>
          <t>Planned institution</t>
        </is>
      </c>
      <c r="B93" s="9" t="inlineStr">
        <is>
          <t>kw-gulfbank</t>
        </is>
      </c>
      <c r="C93" s="5" t="inlineStr">
        <is>
          <t>Gulf Bank</t>
        </is>
      </c>
      <c r="D93" s="5" t="inlineStr">
        <is>
          <t>Outstanding (batch B26)</t>
        </is>
      </c>
    </row>
    <row r="94">
      <c r="A94" s="9" t="inlineStr">
        <is>
          <t>Planned institution</t>
        </is>
      </c>
      <c r="B94" s="9" t="inlineStr">
        <is>
          <t>kw-cbk</t>
        </is>
      </c>
      <c r="C94" s="5" t="inlineStr">
        <is>
          <t>Commercial Bank of Kuwait</t>
        </is>
      </c>
      <c r="D94" s="5" t="inlineStr">
        <is>
          <t>Outstanding (batch B26)</t>
        </is>
      </c>
    </row>
    <row r="95">
      <c r="A95" s="9" t="inlineStr">
        <is>
          <t>Planned institution</t>
        </is>
      </c>
      <c r="B95" s="9" t="inlineStr">
        <is>
          <t>kw-abk</t>
        </is>
      </c>
      <c r="C95" s="5" t="inlineStr">
        <is>
          <t>Al Ahli Bank of Kuwait</t>
        </is>
      </c>
      <c r="D95" s="5" t="inlineStr">
        <is>
          <t>Outstanding (batch B26)</t>
        </is>
      </c>
    </row>
    <row r="96">
      <c r="A96" s="9" t="inlineStr">
        <is>
          <t>Planned institution</t>
        </is>
      </c>
      <c r="B96" s="9" t="inlineStr">
        <is>
          <t>kw-kib</t>
        </is>
      </c>
      <c r="C96" s="5" t="inlineStr">
        <is>
          <t>Kuwait International Bank</t>
        </is>
      </c>
      <c r="D96" s="5" t="inlineStr">
        <is>
          <t>Outstanding (batch B26)</t>
        </is>
      </c>
    </row>
    <row r="97">
      <c r="A97" s="9" t="inlineStr">
        <is>
          <t>Planned institution</t>
        </is>
      </c>
      <c r="B97" s="9" t="inlineStr">
        <is>
          <t>bh-nbb</t>
        </is>
      </c>
      <c r="C97" s="5" t="inlineStr">
        <is>
          <t>National Bank of Bahrain</t>
        </is>
      </c>
      <c r="D97" s="5" t="inlineStr">
        <is>
          <t>Outstanding (batch B27)</t>
        </is>
      </c>
    </row>
    <row r="98">
      <c r="A98" s="9" t="inlineStr">
        <is>
          <t>Planned institution</t>
        </is>
      </c>
      <c r="B98" s="9" t="inlineStr">
        <is>
          <t>bh-bisb</t>
        </is>
      </c>
      <c r="C98" s="5" t="inlineStr">
        <is>
          <t>Bahrain Islamic Bank</t>
        </is>
      </c>
      <c r="D98" s="5" t="inlineStr">
        <is>
          <t>Outstanding (batch B27)</t>
        </is>
      </c>
    </row>
    <row r="99">
      <c r="A99" s="9" t="inlineStr">
        <is>
          <t>Planned institution</t>
        </is>
      </c>
      <c r="B99" s="9" t="inlineStr">
        <is>
          <t>bh-bbk</t>
        </is>
      </c>
      <c r="C99" s="5" t="inlineStr">
        <is>
          <t>BBK (Bank of Bahrain and Kuwait)</t>
        </is>
      </c>
      <c r="D99" s="5" t="inlineStr">
        <is>
          <t>Outstanding (batch B27)</t>
        </is>
      </c>
    </row>
    <row r="100">
      <c r="A100" s="9" t="inlineStr">
        <is>
          <t>Planned institution</t>
        </is>
      </c>
      <c r="B100" s="9" t="inlineStr">
        <is>
          <t>bh-alsalam</t>
        </is>
      </c>
      <c r="C100" s="5" t="inlineStr">
        <is>
          <t>Al Salam Bank</t>
        </is>
      </c>
      <c r="D100" s="5" t="inlineStr">
        <is>
          <t>Outstanding (batch B28)</t>
        </is>
      </c>
    </row>
    <row r="101">
      <c r="A101" s="9" t="inlineStr">
        <is>
          <t>Planned institution</t>
        </is>
      </c>
      <c r="B101" s="9" t="inlineStr">
        <is>
          <t>bh-khaleeji</t>
        </is>
      </c>
      <c r="C101" s="5" t="inlineStr">
        <is>
          <t>Khaleeji Bank</t>
        </is>
      </c>
      <c r="D101" s="5" t="inlineStr">
        <is>
          <t>Outstanding (batch B28)</t>
        </is>
      </c>
    </row>
    <row r="102">
      <c r="A102" s="9" t="inlineStr">
        <is>
          <t>Planned institution</t>
        </is>
      </c>
      <c r="B102" s="9" t="inlineStr">
        <is>
          <t>bh-albaraka</t>
        </is>
      </c>
      <c r="C102" s="5" t="inlineStr">
        <is>
          <t>Al Baraka Group</t>
        </is>
      </c>
      <c r="D102" s="5" t="inlineStr">
        <is>
          <t>Outstanding (batch B28)</t>
        </is>
      </c>
    </row>
    <row r="103">
      <c r="A103" s="9" t="inlineStr">
        <is>
          <t>Planned institution</t>
        </is>
      </c>
      <c r="B103" s="9" t="inlineStr">
        <is>
          <t>bh-bankabc</t>
        </is>
      </c>
      <c r="C103" s="5" t="inlineStr">
        <is>
          <t>Bank ABC (Arab Banking Corporation)</t>
        </is>
      </c>
      <c r="D103" s="5" t="inlineStr">
        <is>
          <t>Outstanding (batch B29)</t>
        </is>
      </c>
    </row>
    <row r="104">
      <c r="A104" s="9" t="inlineStr">
        <is>
          <t>Planned institution</t>
        </is>
      </c>
      <c r="B104" s="9" t="inlineStr">
        <is>
          <t>bh-gib</t>
        </is>
      </c>
      <c r="C104" s="5" t="inlineStr">
        <is>
          <t>Gulf International Bank</t>
        </is>
      </c>
      <c r="D104" s="5" t="inlineStr">
        <is>
          <t>Outstanding (batch B29)</t>
        </is>
      </c>
    </row>
    <row r="105">
      <c r="A105" s="9" t="inlineStr">
        <is>
          <t>Planned institution</t>
        </is>
      </c>
      <c r="B105" s="9" t="inlineStr">
        <is>
          <t>bh-gfh</t>
        </is>
      </c>
      <c r="C105" s="5" t="inlineStr">
        <is>
          <t>GFH Financial Group</t>
        </is>
      </c>
      <c r="D105" s="5" t="inlineStr">
        <is>
          <t>Outstanding (batch B29)</t>
        </is>
      </c>
    </row>
    <row r="106">
      <c r="A106" s="9" t="inlineStr">
        <is>
          <t>Planned institution</t>
        </is>
      </c>
      <c r="B106" s="9" t="inlineStr">
        <is>
          <t>bh-sico</t>
        </is>
      </c>
      <c r="C106" s="5" t="inlineStr">
        <is>
          <t>SICO</t>
        </is>
      </c>
      <c r="D106" s="5" t="inlineStr">
        <is>
          <t>Outstanding (batch B29)</t>
        </is>
      </c>
    </row>
    <row r="107">
      <c r="A107" s="9" t="inlineStr">
        <is>
          <t>Planned institution</t>
        </is>
      </c>
      <c r="B107" s="9" t="inlineStr">
        <is>
          <t>om-bankmuscat</t>
        </is>
      </c>
      <c r="C107" s="5" t="inlineStr">
        <is>
          <t>Bank Muscat</t>
        </is>
      </c>
      <c r="D107" s="5" t="inlineStr">
        <is>
          <t>Outstanding (batch B30)</t>
        </is>
      </c>
    </row>
    <row r="108">
      <c r="A108" s="9" t="inlineStr">
        <is>
          <t>Planned institution</t>
        </is>
      </c>
      <c r="B108" s="9" t="inlineStr">
        <is>
          <t>om-sohar</t>
        </is>
      </c>
      <c r="C108" s="5" t="inlineStr">
        <is>
          <t>Sohar International Bank</t>
        </is>
      </c>
      <c r="D108" s="5" t="inlineStr">
        <is>
          <t>Outstanding (batch B30)</t>
        </is>
      </c>
    </row>
    <row r="109">
      <c r="A109" s="9" t="inlineStr">
        <is>
          <t>Planned institution</t>
        </is>
      </c>
      <c r="B109" s="9" t="inlineStr">
        <is>
          <t>om-bankdhofar</t>
        </is>
      </c>
      <c r="C109" s="5" t="inlineStr">
        <is>
          <t>Bank Dhofar</t>
        </is>
      </c>
      <c r="D109" s="5" t="inlineStr">
        <is>
          <t>Outstanding (batch B31)</t>
        </is>
      </c>
    </row>
    <row r="110">
      <c r="A110" s="9" t="inlineStr">
        <is>
          <t>Planned institution</t>
        </is>
      </c>
      <c r="B110" s="9" t="inlineStr">
        <is>
          <t>om-nbo</t>
        </is>
      </c>
      <c r="C110" s="5" t="inlineStr">
        <is>
          <t>National Bank of Oman</t>
        </is>
      </c>
      <c r="D110" s="5" t="inlineStr">
        <is>
          <t>Outstanding (batch B31)</t>
        </is>
      </c>
    </row>
    <row r="111">
      <c r="A111" s="9" t="inlineStr">
        <is>
          <t>Planned institution</t>
        </is>
      </c>
      <c r="B111" s="9" t="inlineStr">
        <is>
          <t>om-oab</t>
        </is>
      </c>
      <c r="C111" s="5" t="inlineStr">
        <is>
          <t>Oman Arab Bank</t>
        </is>
      </c>
      <c r="D111" s="5" t="inlineStr">
        <is>
          <t>Outstanding (batch B31)</t>
        </is>
      </c>
    </row>
    <row r="112">
      <c r="A112" s="9" t="inlineStr">
        <is>
          <t>Planned institution</t>
        </is>
      </c>
      <c r="B112" s="9" t="inlineStr">
        <is>
          <t>om-ahlibank</t>
        </is>
      </c>
      <c r="C112" s="5" t="inlineStr">
        <is>
          <t>Ahli Bank (Oman)</t>
        </is>
      </c>
      <c r="D112" s="5" t="inlineStr">
        <is>
          <t>Outstanding (batch B32)</t>
        </is>
      </c>
    </row>
    <row r="113">
      <c r="A113" s="9" t="inlineStr">
        <is>
          <t>Planned institution</t>
        </is>
      </c>
      <c r="B113" s="9" t="inlineStr">
        <is>
          <t>om-banknizwa</t>
        </is>
      </c>
      <c r="C113" s="5" t="inlineStr">
        <is>
          <t>Bank Nizwa</t>
        </is>
      </c>
      <c r="D113" s="5" t="inlineStr">
        <is>
          <t>Outstanding (batch B32)</t>
        </is>
      </c>
    </row>
    <row r="114">
      <c r="A114" s="9" t="inlineStr">
        <is>
          <t>Planned institution</t>
        </is>
      </c>
      <c r="B114" s="9" t="inlineStr">
        <is>
          <t>intl-scb</t>
        </is>
      </c>
      <c r="C114" s="5" t="inlineStr">
        <is>
          <t>Standard Chartered (GCC)</t>
        </is>
      </c>
      <c r="D114" s="5" t="inlineStr">
        <is>
          <t>Outstanding (batch B33)</t>
        </is>
      </c>
    </row>
    <row r="115">
      <c r="A115" s="9" t="inlineStr">
        <is>
          <t>Planned institution</t>
        </is>
      </c>
      <c r="B115" s="9" t="inlineStr">
        <is>
          <t>intl-hsbc</t>
        </is>
      </c>
      <c r="C115" s="5" t="inlineStr">
        <is>
          <t>HSBC (GCC / HSBC Bank Middle East)</t>
        </is>
      </c>
      <c r="D115" s="5" t="inlineStr">
        <is>
          <t>Outstanding (batch B33)</t>
        </is>
      </c>
    </row>
    <row r="116">
      <c r="A116" s="9" t="inlineStr">
        <is>
          <t>Planned institution</t>
        </is>
      </c>
      <c r="B116" s="9" t="inlineStr">
        <is>
          <t>intl-citi</t>
        </is>
      </c>
      <c r="C116" s="5" t="inlineStr">
        <is>
          <t>Citi (GCC)</t>
        </is>
      </c>
      <c r="D116" s="5" t="inlineStr">
        <is>
          <t>Outstanding (batch B33)</t>
        </is>
      </c>
    </row>
    <row r="117">
      <c r="A117" s="9" t="inlineStr">
        <is>
          <t>Excluded / folded</t>
        </is>
      </c>
      <c r="B117" s="9" t="n"/>
      <c r="C117" s="5" t="inlineStr">
        <is>
          <t>Dhabi Ltd</t>
        </is>
      </c>
      <c r="D117" s="5" t="inlineStr">
        <is>
          <t>Listed separately in the original workbook; it is a Finance House subsidiary — folded into ae-financehouse.</t>
        </is>
      </c>
    </row>
    <row r="118">
      <c r="A118" s="9" t="inlineStr">
        <is>
          <t>Excluded / folded</t>
        </is>
      </c>
      <c r="B118" s="9" t="n"/>
      <c r="C118" s="5" t="inlineStr">
        <is>
          <t>Al Hilal Bank</t>
        </is>
      </c>
      <c r="D118" s="5" t="inlineStr">
        <is>
          <t>ADCB subsidiary; captured in ae-adcb.</t>
        </is>
      </c>
    </row>
    <row r="119">
      <c r="A119" s="9" t="inlineStr">
        <is>
          <t>Excluded / folded</t>
        </is>
      </c>
      <c r="B119" s="9" t="n"/>
      <c r="C119" s="5" t="inlineStr">
        <is>
          <t>Liv (Emirates NBD)</t>
        </is>
      </c>
      <c r="D119" s="5" t="inlineStr">
        <is>
          <t>Digital brand of Emirates NBD; captured in ae-enbd.</t>
        </is>
      </c>
    </row>
    <row r="120">
      <c r="A120" s="9" t="inlineStr">
        <is>
          <t>Excluded / folded</t>
        </is>
      </c>
      <c r="B120" s="9" t="n"/>
      <c r="C120" s="5" t="inlineStr">
        <is>
          <t>ila Bank</t>
        </is>
      </c>
      <c r="D120" s="5" t="inlineStr">
        <is>
          <t>Digital bank of Bank ABC; captured in bh-bankabc.</t>
        </is>
      </c>
    </row>
    <row r="121">
      <c r="A121" s="9" t="inlineStr">
        <is>
          <t>Excluded / folded</t>
        </is>
      </c>
      <c r="B121" s="9" t="n"/>
      <c r="C121" s="5" t="inlineStr">
        <is>
          <t>Nomo</t>
        </is>
      </c>
      <c r="D121" s="5" t="inlineStr">
        <is>
          <t>Digital bank of BLME/Boubyan; captured in kw-boubyan.</t>
        </is>
      </c>
    </row>
    <row r="122">
      <c r="A122" s="9" t="inlineStr">
        <is>
          <t>Excluded / folded</t>
        </is>
      </c>
      <c r="B122" s="9" t="n"/>
      <c r="C122" s="5" t="inlineStr">
        <is>
          <t>Meem (GIB)</t>
        </is>
      </c>
      <c r="D122" s="5" t="inlineStr">
        <is>
          <t>GIB digital brand; captured in bh-gib.</t>
        </is>
      </c>
    </row>
    <row r="123">
      <c r="A123" s="9" t="inlineStr">
        <is>
          <t>Excluded / folded</t>
        </is>
      </c>
      <c r="B123" s="9" t="n"/>
      <c r="C123" s="5" t="inlineStr">
        <is>
          <t>Emirates Development Bank; Saudi EXIM; SIDF; Social Development Bank; Qatar Development Bank; Industrial Bank of Kuwait; Bahrain Development Bank; Development Bank (Oman); Oman Housing Bank</t>
        </is>
      </c>
      <c r="D123" s="5" t="inlineStr">
        <is>
          <t>State development / specialised lenders — no retail wealth franchise.</t>
        </is>
      </c>
    </row>
    <row r="124">
      <c r="A124" s="9" t="inlineStr">
        <is>
          <t>Excluded / folded</t>
        </is>
      </c>
      <c r="B124" s="9" t="n"/>
      <c r="C124" s="5" t="inlineStr">
        <is>
          <t>Alpheya; other wealth-tech vendors</t>
        </is>
      </c>
      <c r="D124" s="5" t="inlineStr">
        <is>
          <t>Competitors of ARTA, not prospective partners — tracked in competitor research, not here.</t>
        </is>
      </c>
    </row>
    <row r="125">
      <c r="A125" s="9" t="inlineStr">
        <is>
          <t>Excluded / folded</t>
        </is>
      </c>
      <c r="B125" s="9" t="n"/>
      <c r="C125" s="5" t="inlineStr">
        <is>
          <t>Sovereign funds (ADIA, PIF, QIA, KIA, OIA, Mumtalakat), ADQ, L'imad Holding</t>
        </is>
      </c>
      <c r="D125" s="5" t="inlineStr">
        <is>
          <t>Owners, not distribution partners; recorded as shareholders where relevant.</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C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6" customWidth="1" min="1" max="1"/>
    <col width="8" customWidth="1" min="2" max="2"/>
    <col width="140" customWidth="1" min="3" max="3"/>
  </cols>
  <sheetData>
    <row r="1">
      <c r="A1" s="6" t="inlineStr">
        <is>
          <t>Automated quality checks</t>
        </is>
      </c>
    </row>
    <row r="2">
      <c r="A2" s="7" t="inlineStr">
        <is>
          <t>Run by tools/build_db.py on every build. Zero is the target for invalid JSON, broken source references, vocabulary and URL format checks.</t>
        </is>
      </c>
    </row>
    <row r="4" ht="30" customHeight="1">
      <c r="A4" s="8" t="inlineStr">
        <is>
          <t>Check</t>
        </is>
      </c>
      <c r="B4" s="8" t="inlineStr">
        <is>
          <t>Count</t>
        </is>
      </c>
      <c r="C4" s="8" t="inlineStr">
        <is>
          <t>Items</t>
        </is>
      </c>
    </row>
    <row r="5">
      <c r="A5" s="9" t="inlineStr">
        <is>
          <t>role not verified current</t>
        </is>
      </c>
      <c r="B5" s="9" t="n">
        <v>3</v>
      </c>
      <c r="C5" s="5" t="inlineStr">
        <is>
          <t>ae-sarwa Nadine Mezher: Conflicting sources; ae-sarwa Robin Harb: Requires verification; ae-sarwa Osama Al Ghoussein: Requires verification</t>
        </is>
      </c>
    </row>
    <row r="6">
      <c r="A6" s="9" t="inlineStr">
        <is>
          <t>not yet researched</t>
        </is>
      </c>
      <c r="B6" s="9" t="n">
        <v>105</v>
      </c>
      <c r="C6" s="5" t="inlineStr">
        <is>
          <t>ae-adcb; ae-adib; ae-ajman; ae-almasraf; ae-alramz; ae-arqaam; ae-baraka; ae-bos; ae-cbd; ae-cbi; ae-dib; ae-ei; ae-eib; ae-enbd; ae-fab; ae-financehouse; ae-intlsecurities; ae-investbank; ae-mashreq; ae-mbank; ae-nbf; ae-nbq; ae-rakbank; ae-ruya; ae-shuaa; ae-sib; ae-stashaway; ae-uab; ae-wio; ae-zand; bh-albaraka; bh-alsalam; bh-bankabc; bh-bbk; bh-bisb; bh-gfh; bh-gib; bh-investcorp; bh-kfhbahrain; bh-khaleeji; bh-nbb; bh-sico; intl-citi; intl-hsbc; intl-scb; kw-abk; kw-boubyan; kw-burgan; kw-cbk; kw-gulfbank; kw-kamco; kw-kfh; kw-kib; kw-kic; kw-markaz; kw-nbk; kw-warba; om-ahlibank; om-bankdhofar; om-bankmuscat …</t>
        </is>
      </c>
    </row>
    <row r="7">
      <c r="A7" s="9" t="inlineStr">
        <is>
          <t>unplanned files</t>
        </is>
      </c>
      <c r="B7" s="9" t="n">
        <v>0</v>
      </c>
      <c r="C7" s="5" t="inlineStr"/>
    </row>
    <row r="8">
      <c r="A8" s="9" t="inlineStr">
        <is>
          <t>duplicate institution names</t>
        </is>
      </c>
      <c r="B8" s="9" t="n">
        <v>0</v>
      </c>
      <c r="C8" s="5" t="inlineStr"/>
    </row>
    <row r="9">
      <c r="A9" s="9" t="inlineStr">
        <is>
          <t>people at multiple institutions</t>
        </is>
      </c>
      <c r="B9" s="9" t="n">
        <v>0</v>
      </c>
      <c r="C9" s="5" t="inlineStr"/>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22" customWidth="1" min="2" max="2"/>
    <col width="26" customWidth="1" min="3" max="3"/>
    <col width="34" customWidth="1" min="4" max="4"/>
    <col width="26" customWidth="1" min="5" max="5"/>
    <col width="12" customWidth="1" min="6" max="6"/>
    <col width="30" customWidth="1" min="7" max="7"/>
    <col width="40" customWidth="1" min="8" max="8"/>
    <col width="50" customWidth="1" min="9" max="9"/>
  </cols>
  <sheetData>
    <row r="1">
      <c r="A1" s="6" t="inlineStr">
        <is>
          <t>Relationship contacts and internal notes (internal only)</t>
        </is>
      </c>
    </row>
    <row r="2">
      <c r="A2" s="7" t="inlineStr">
        <is>
          <t>Carried over from the 7 Oct 2026 workbook. Not verified as public facts; excluded from the website and exports.</t>
        </is>
      </c>
    </row>
    <row r="4" ht="30" customHeight="1">
      <c r="A4" s="8" t="inlineStr">
        <is>
          <t>Origin</t>
        </is>
      </c>
      <c r="B4" s="8" t="inlineStr">
        <is>
          <t>Institution</t>
        </is>
      </c>
      <c r="C4" s="8" t="inlineStr">
        <is>
          <t>Name / item</t>
        </is>
      </c>
      <c r="D4" s="8" t="inlineStr">
        <is>
          <t>Title / value as recorded</t>
        </is>
      </c>
      <c r="E4" s="8" t="inlineStr">
        <is>
          <t>Status as recorded</t>
        </is>
      </c>
      <c r="F4" s="8" t="inlineStr">
        <is>
          <t>Evidence date</t>
        </is>
      </c>
      <c r="G4" s="8" t="inlineStr">
        <is>
          <t>Business email (prior correspondence)</t>
        </is>
      </c>
      <c r="H4" s="8" t="inlineStr">
        <is>
          <t>Internal link</t>
        </is>
      </c>
      <c r="I4" s="8" t="inlineStr">
        <is>
          <t>Notes</t>
        </is>
      </c>
    </row>
    <row r="5">
      <c r="A5" s="9" t="inlineStr">
        <is>
          <t>Original Management sheet</t>
        </is>
      </c>
      <c r="B5" s="9" t="inlineStr">
        <is>
          <t>Abu Dhabi Commercial Bank</t>
        </is>
      </c>
      <c r="C5" s="9" t="inlineStr">
        <is>
          <t>Arvind Iyer</t>
        </is>
      </c>
      <c r="D5" s="5" t="inlineStr">
        <is>
          <t>Business contact; title not verified</t>
        </is>
      </c>
      <c r="E5" s="5" t="inlineStr">
        <is>
          <t>Historical source only; current role unverified</t>
        </is>
      </c>
      <c r="F5" s="9" t="inlineStr">
        <is>
          <t>2026-09-22</t>
        </is>
      </c>
      <c r="G5" s="9" t="inlineStr">
        <is>
          <t>arvind.iyer@adcb.com</t>
        </is>
      </c>
      <c r="H5" s="5" t="inlineStr">
        <is>
          <t>https://mail.google.com/mail/u/?authuser=yaser%40artafinance.com#all/1a0c84f285188e93</t>
        </is>
      </c>
      <c r="I5" s="5" t="inlineStr">
        <is>
          <t>Signed NDA confirmed by June29 original; not merely generic market mention.</t>
        </is>
      </c>
    </row>
    <row r="6">
      <c r="A6" s="9" t="inlineStr">
        <is>
          <t>Original Management sheet</t>
        </is>
      </c>
      <c r="B6" s="9" t="inlineStr">
        <is>
          <t>Emirates NBD</t>
        </is>
      </c>
      <c r="C6" s="9" t="inlineStr">
        <is>
          <t>Atinuke Odunowo (Tinuke)</t>
        </is>
      </c>
      <c r="D6" s="5" t="inlineStr">
        <is>
          <t>Fintech Engagement Manager, Emirates NBD Digital</t>
        </is>
      </c>
      <c r="E6" s="5" t="inlineStr">
        <is>
          <t>Historical source only; current role unverified</t>
        </is>
      </c>
      <c r="F6" s="9" t="inlineStr">
        <is>
          <t>2026-10-05</t>
        </is>
      </c>
      <c r="G6" s="9" t="inlineStr">
        <is>
          <t>AtinukeAdenikeO@emiratesnbd.com</t>
        </is>
      </c>
      <c r="H6" s="5" t="inlineStr">
        <is>
          <t>https://mail.google.com/mail/u/?authuser=yaser%40artafinance.com#all/1a10ae865e78058c</t>
        </is>
      </c>
      <c r="I6" s="5" t="inlineStr">
        <is>
          <t>Karen in notes unverified surname; don't conflate with Tinuke.</t>
        </is>
      </c>
    </row>
    <row r="7">
      <c r="A7" s="9" t="inlineStr">
        <is>
          <t>Original Management sheet</t>
        </is>
      </c>
      <c r="B7" s="9" t="inlineStr">
        <is>
          <t>Mashreq</t>
        </is>
      </c>
      <c r="C7" s="9" t="inlineStr">
        <is>
          <t>Alvaro Cuesta Sanchez</t>
        </is>
      </c>
      <c r="D7" s="5" t="inlineStr">
        <is>
          <t>Business contact; title not verified</t>
        </is>
      </c>
      <c r="E7" s="5" t="inlineStr">
        <is>
          <t>Historical source only; current role unverified</t>
        </is>
      </c>
      <c r="F7" s="9" t="inlineStr">
        <is>
          <t>2026-06-16</t>
        </is>
      </c>
      <c r="G7" s="9" t="n"/>
      <c r="H7" s="5" t="inlineStr">
        <is>
          <t>https://mail.google.com/mail/u/?authuser=yaser%40artafinance.com#all/19ecfa1ef6b3d2ec</t>
        </is>
      </c>
      <c r="I7" s="5" t="inlineStr">
        <is>
          <t>June16 originals have placeholder recipients/no To header; evidence of research drafted, not delivered. Financials not independently verified in this inventory.</t>
        </is>
      </c>
    </row>
    <row r="8">
      <c r="A8" s="9" t="inlineStr">
        <is>
          <t>Original Management sheet</t>
        </is>
      </c>
      <c r="B8" s="9" t="inlineStr">
        <is>
          <t>Mashreq</t>
        </is>
      </c>
      <c r="C8" s="9" t="inlineStr">
        <is>
          <t>Mahvish Jaffer</t>
        </is>
      </c>
      <c r="D8" s="5" t="inlineStr">
        <is>
          <t>Business contact; title not verified</t>
        </is>
      </c>
      <c r="E8" s="5" t="inlineStr">
        <is>
          <t>Historical source only; current role unverified</t>
        </is>
      </c>
      <c r="F8" s="9" t="inlineStr">
        <is>
          <t>2026-06-16</t>
        </is>
      </c>
      <c r="G8" s="9" t="inlineStr">
        <is>
          <t>MahvishJ@mashreq.com</t>
        </is>
      </c>
      <c r="H8" s="5" t="inlineStr">
        <is>
          <t>https://mail.google.com/mail/u/?authuser=yaser%40artafinance.com#all/19ecfa1ef6b3d2ec</t>
        </is>
      </c>
      <c r="I8" s="5" t="inlineStr">
        <is>
          <t>June16 originals have placeholder recipients/no To header; evidence of research drafted, not delivered. Financials not independently verified in this inventory.</t>
        </is>
      </c>
    </row>
    <row r="9">
      <c r="A9" s="9" t="inlineStr">
        <is>
          <t>Original Management sheet</t>
        </is>
      </c>
      <c r="B9" s="9" t="inlineStr">
        <is>
          <t>Mashreq</t>
        </is>
      </c>
      <c r="C9" s="9" t="inlineStr">
        <is>
          <t>Vickram Lal</t>
        </is>
      </c>
      <c r="D9" s="5" t="inlineStr">
        <is>
          <t>Business contact; title not verified</t>
        </is>
      </c>
      <c r="E9" s="5" t="inlineStr">
        <is>
          <t>Historical source only; current role unverified</t>
        </is>
      </c>
      <c r="F9" s="9" t="inlineStr">
        <is>
          <t>2026-06-16</t>
        </is>
      </c>
      <c r="G9" s="9" t="n"/>
      <c r="H9" s="5" t="inlineStr">
        <is>
          <t>https://mail.google.com/mail/u/?authuser=yaser%40artafinance.com#all/19ecfa1ef6b3d2ec</t>
        </is>
      </c>
      <c r="I9" s="5" t="inlineStr">
        <is>
          <t>June16 originals have placeholder recipients/no To header; evidence of research drafted, not delivered. Financials not independently verified in this inventory.</t>
        </is>
      </c>
    </row>
    <row r="10">
      <c r="A10" s="9" t="inlineStr">
        <is>
          <t>Original Management sheet</t>
        </is>
      </c>
      <c r="B10" s="9" t="inlineStr">
        <is>
          <t>Standard Chartered</t>
        </is>
      </c>
      <c r="C10" s="9" t="inlineStr">
        <is>
          <t>Rola Aboumanny</t>
        </is>
      </c>
      <c r="D10" s="5" t="inlineStr">
        <is>
          <t>Head of RCO (as recorded)</t>
        </is>
      </c>
      <c r="E10" s="5" t="inlineStr">
        <is>
          <t>Historical source only; current role unverified</t>
        </is>
      </c>
      <c r="F10" s="9" t="inlineStr">
        <is>
          <t>2026-09-14</t>
        </is>
      </c>
      <c r="G10" s="9" t="n"/>
      <c r="H10" s="5" t="inlineStr">
        <is>
          <t>https://notes.granola.ai/d/91ee96bd-51ba-4ad7-a91b-a35739fc9110</t>
        </is>
      </c>
      <c r="I10" s="5" t="inlineStr">
        <is>
          <t>Name/title are transcription as recorded; not independently verified.</t>
        </is>
      </c>
    </row>
    <row r="11">
      <c r="A11" s="9" t="inlineStr">
        <is>
          <t>Original Management sheet</t>
        </is>
      </c>
      <c r="B11" s="9" t="inlineStr">
        <is>
          <t>Wio Bank</t>
        </is>
      </c>
      <c r="C11" s="9" t="inlineStr">
        <is>
          <t>Gaurav Ganwani</t>
        </is>
      </c>
      <c r="D11" s="5" t="inlineStr">
        <is>
          <t>Deputy General Manager</t>
        </is>
      </c>
      <c r="E11" s="5" t="inlineStr">
        <is>
          <t>Official dated role; live public LinkedIn corroborates Wio Invest leadership</t>
        </is>
      </c>
      <c r="F11" s="9" t="inlineStr">
        <is>
          <t>2025-07-23</t>
        </is>
      </c>
      <c r="G11" s="9" t="inlineStr">
        <is>
          <t>gganwani@wioinvest.io</t>
        </is>
      </c>
      <c r="H11" s="5" t="inlineStr">
        <is>
          <t>https://mail.google.com/mail/u/?authuser=yaser%40artafinance.com#all/1a0c84f285188e93</t>
        </is>
      </c>
      <c r="I11" s="5" t="inlineStr">
        <is>
          <t>Separate investment-platform entity; relevant product/wealth lead.</t>
        </is>
      </c>
    </row>
    <row r="12">
      <c r="A12" s="9" t="inlineStr">
        <is>
          <t>Original Size metrics (internal ARTA figure)</t>
        </is>
      </c>
      <c r="B12" s="9" t="inlineStr">
        <is>
          <t>Wio Bank</t>
        </is>
      </c>
      <c r="C12" s="9" t="inlineStr">
        <is>
          <t>Arta partnership accounts</t>
        </is>
      </c>
      <c r="D12" s="5" t="inlineStr">
        <is>
          <t>43800  count</t>
        </is>
      </c>
      <c r="E12" s="5" t="inlineStr">
        <is>
          <t>Historical strategy</t>
        </is>
      </c>
      <c r="F12" s="9" t="inlineStr">
        <is>
          <t>2026-09-22</t>
        </is>
      </c>
      <c r="G12" s="9" t="n"/>
      <c r="H12" s="5" t="inlineStr">
        <is>
          <t>https://mail.google.com/mail/u/?authuser=yaser%40artafinance.com#all/1a0c84f285188e93</t>
        </is>
      </c>
      <c r="I12" s="5" t="inlineStr">
        <is>
          <t>43,800 accounts in first 14 months, as recorded in strategy outline. Not total Wio bank customers.</t>
        </is>
      </c>
    </row>
    <row r="13">
      <c r="A13" s="9" t="inlineStr">
        <is>
          <t>Original Size metrics (internal ARTA figure)</t>
        </is>
      </c>
      <c r="B13" s="9" t="inlineStr">
        <is>
          <t>Wio Bank</t>
        </is>
      </c>
      <c r="C13" s="9" t="inlineStr">
        <is>
          <t>Arta partnership AUM</t>
        </is>
      </c>
      <c r="D13" s="5" t="inlineStr">
        <is>
          <t>98 USD million</t>
        </is>
      </c>
      <c r="E13" s="5" t="inlineStr">
        <is>
          <t>Historical strategy</t>
        </is>
      </c>
      <c r="F13" s="9" t="inlineStr">
        <is>
          <t>2026-09-22</t>
        </is>
      </c>
      <c r="G13" s="9" t="n"/>
      <c r="H13" s="5" t="inlineStr">
        <is>
          <t>https://mail.google.com/mail/u/?authuser=yaser%40artafinance.com#all/1a0c84f285188e93</t>
        </is>
      </c>
      <c r="I13" s="5" t="inlineStr">
        <is>
          <t>First 14 months. Separate from Wio bank assets and deposits.</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2026-10-12T09:51:05Z</dcterms:created>
  <dcterms:modified xmlns:dcterms="http://purl.org/dc/terms/" xmlns:xsi="http://www.w3.org/2001/XMLSchema-instance" xsi:type="dcterms:W3CDTF">2026-10-12T09:51:05Z</dcterms:modified>
</cp:coreProperties>
</file>